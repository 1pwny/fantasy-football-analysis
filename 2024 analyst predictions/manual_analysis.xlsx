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ammy\Documents\Projects\fantasy-football-analysis\2024 analyst predictions\"/>
    </mc:Choice>
  </mc:AlternateContent>
  <xr:revisionPtr revIDLastSave="0" documentId="13_ncr:1_{64EE3878-3FA1-4662-BD62-37F98A086B18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Data" sheetId="1" r:id="rId1"/>
    <sheet name="Constants" sheetId="2" r:id="rId2"/>
    <sheet name="Predictions" sheetId="3" r:id="rId3"/>
    <sheet name="Analysis" sheetId="4" r:id="rId4"/>
  </sheets>
  <externalReferences>
    <externalReference r:id="rId5"/>
  </externalReferences>
  <definedNames>
    <definedName name="_xlnm._FilterDatabase" localSheetId="3" hidden="1">Analysis!$A$1:$V$554</definedName>
    <definedName name="Analysts">Predictions!$A$1:$J$1</definedName>
    <definedName name="DataTable">Data!$A$2:$W$553</definedName>
    <definedName name="MetaTable">Constants!$A$1:$D$5</definedName>
    <definedName name="PlayerPosDB">[1]PlayerPosDB!$B$2:$D$553</definedName>
    <definedName name="PredictionTable">Predictions!$A$1:$J$161</definedName>
    <definedName name="T_Avg_PPG">Data!$W$1:$W$553</definedName>
    <definedName name="T_Names">Data!$A$1:$A$553</definedName>
    <definedName name="T_Performances">Data!$U$1:$U$553</definedName>
    <definedName name="T_Pos">Data!$B$1:$B$553</definedName>
    <definedName name="T_Total">Data!$V$1:$V$553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4" i="4" l="1"/>
  <c r="O554" i="4"/>
  <c r="N554" i="4"/>
  <c r="M554" i="4"/>
  <c r="L554" i="4"/>
  <c r="K554" i="4"/>
  <c r="J554" i="4"/>
  <c r="I554" i="4"/>
  <c r="H554" i="4"/>
  <c r="P553" i="4"/>
  <c r="O553" i="4"/>
  <c r="N553" i="4"/>
  <c r="M553" i="4"/>
  <c r="L553" i="4"/>
  <c r="K553" i="4"/>
  <c r="J553" i="4"/>
  <c r="I553" i="4"/>
  <c r="H553" i="4"/>
  <c r="P552" i="4"/>
  <c r="O552" i="4"/>
  <c r="N552" i="4"/>
  <c r="M552" i="4"/>
  <c r="L552" i="4"/>
  <c r="K552" i="4"/>
  <c r="J552" i="4"/>
  <c r="I552" i="4"/>
  <c r="H552" i="4"/>
  <c r="P551" i="4"/>
  <c r="O551" i="4"/>
  <c r="N551" i="4"/>
  <c r="M551" i="4"/>
  <c r="L551" i="4"/>
  <c r="K551" i="4"/>
  <c r="J551" i="4"/>
  <c r="I551" i="4"/>
  <c r="H551" i="4"/>
  <c r="P550" i="4"/>
  <c r="O550" i="4"/>
  <c r="N550" i="4"/>
  <c r="M550" i="4"/>
  <c r="L550" i="4"/>
  <c r="K550" i="4"/>
  <c r="J550" i="4"/>
  <c r="I550" i="4"/>
  <c r="H550" i="4"/>
  <c r="P549" i="4"/>
  <c r="O549" i="4"/>
  <c r="N549" i="4"/>
  <c r="M549" i="4"/>
  <c r="L549" i="4"/>
  <c r="K549" i="4"/>
  <c r="J549" i="4"/>
  <c r="I549" i="4"/>
  <c r="H549" i="4"/>
  <c r="P548" i="4"/>
  <c r="O548" i="4"/>
  <c r="N548" i="4"/>
  <c r="M548" i="4"/>
  <c r="L548" i="4"/>
  <c r="K548" i="4"/>
  <c r="J548" i="4"/>
  <c r="I548" i="4"/>
  <c r="H548" i="4"/>
  <c r="P547" i="4"/>
  <c r="O547" i="4"/>
  <c r="N547" i="4"/>
  <c r="M547" i="4"/>
  <c r="L547" i="4"/>
  <c r="K547" i="4"/>
  <c r="J547" i="4"/>
  <c r="I547" i="4"/>
  <c r="H547" i="4"/>
  <c r="P546" i="4"/>
  <c r="O546" i="4"/>
  <c r="N546" i="4"/>
  <c r="M546" i="4"/>
  <c r="L546" i="4"/>
  <c r="K546" i="4"/>
  <c r="J546" i="4"/>
  <c r="I546" i="4"/>
  <c r="H546" i="4"/>
  <c r="P545" i="4"/>
  <c r="O545" i="4"/>
  <c r="N545" i="4"/>
  <c r="M545" i="4"/>
  <c r="L545" i="4"/>
  <c r="K545" i="4"/>
  <c r="J545" i="4"/>
  <c r="I545" i="4"/>
  <c r="H545" i="4"/>
  <c r="P544" i="4"/>
  <c r="O544" i="4"/>
  <c r="N544" i="4"/>
  <c r="M544" i="4"/>
  <c r="L544" i="4"/>
  <c r="K544" i="4"/>
  <c r="J544" i="4"/>
  <c r="I544" i="4"/>
  <c r="H544" i="4"/>
  <c r="P543" i="4"/>
  <c r="O543" i="4"/>
  <c r="N543" i="4"/>
  <c r="M543" i="4"/>
  <c r="L543" i="4"/>
  <c r="K543" i="4"/>
  <c r="J543" i="4"/>
  <c r="I543" i="4"/>
  <c r="H543" i="4"/>
  <c r="P542" i="4"/>
  <c r="O542" i="4"/>
  <c r="N542" i="4"/>
  <c r="M542" i="4"/>
  <c r="L542" i="4"/>
  <c r="K542" i="4"/>
  <c r="J542" i="4"/>
  <c r="I542" i="4"/>
  <c r="H542" i="4"/>
  <c r="P541" i="4"/>
  <c r="O541" i="4"/>
  <c r="N541" i="4"/>
  <c r="M541" i="4"/>
  <c r="L541" i="4"/>
  <c r="K541" i="4"/>
  <c r="J541" i="4"/>
  <c r="I541" i="4"/>
  <c r="H541" i="4"/>
  <c r="P540" i="4"/>
  <c r="O540" i="4"/>
  <c r="N540" i="4"/>
  <c r="M540" i="4"/>
  <c r="L540" i="4"/>
  <c r="K540" i="4"/>
  <c r="J540" i="4"/>
  <c r="I540" i="4"/>
  <c r="H540" i="4"/>
  <c r="P539" i="4"/>
  <c r="O539" i="4"/>
  <c r="N539" i="4"/>
  <c r="M539" i="4"/>
  <c r="L539" i="4"/>
  <c r="K539" i="4"/>
  <c r="J539" i="4"/>
  <c r="I539" i="4"/>
  <c r="H539" i="4"/>
  <c r="P538" i="4"/>
  <c r="O538" i="4"/>
  <c r="N538" i="4"/>
  <c r="M538" i="4"/>
  <c r="L538" i="4"/>
  <c r="K538" i="4"/>
  <c r="J538" i="4"/>
  <c r="I538" i="4"/>
  <c r="H538" i="4"/>
  <c r="P537" i="4"/>
  <c r="O537" i="4"/>
  <c r="N537" i="4"/>
  <c r="M537" i="4"/>
  <c r="L537" i="4"/>
  <c r="K537" i="4"/>
  <c r="J537" i="4"/>
  <c r="I537" i="4"/>
  <c r="H537" i="4"/>
  <c r="P536" i="4"/>
  <c r="O536" i="4"/>
  <c r="N536" i="4"/>
  <c r="M536" i="4"/>
  <c r="L536" i="4"/>
  <c r="K536" i="4"/>
  <c r="J536" i="4"/>
  <c r="I536" i="4"/>
  <c r="H536" i="4"/>
  <c r="P535" i="4"/>
  <c r="O535" i="4"/>
  <c r="N535" i="4"/>
  <c r="M535" i="4"/>
  <c r="L535" i="4"/>
  <c r="K535" i="4"/>
  <c r="J535" i="4"/>
  <c r="I535" i="4"/>
  <c r="H535" i="4"/>
  <c r="P534" i="4"/>
  <c r="O534" i="4"/>
  <c r="N534" i="4"/>
  <c r="M534" i="4"/>
  <c r="L534" i="4"/>
  <c r="K534" i="4"/>
  <c r="J534" i="4"/>
  <c r="I534" i="4"/>
  <c r="H534" i="4"/>
  <c r="P533" i="4"/>
  <c r="O533" i="4"/>
  <c r="N533" i="4"/>
  <c r="M533" i="4"/>
  <c r="L533" i="4"/>
  <c r="K533" i="4"/>
  <c r="J533" i="4"/>
  <c r="I533" i="4"/>
  <c r="H533" i="4"/>
  <c r="P532" i="4"/>
  <c r="O532" i="4"/>
  <c r="N532" i="4"/>
  <c r="M532" i="4"/>
  <c r="L532" i="4"/>
  <c r="K532" i="4"/>
  <c r="J532" i="4"/>
  <c r="I532" i="4"/>
  <c r="H532" i="4"/>
  <c r="P531" i="4"/>
  <c r="O531" i="4"/>
  <c r="N531" i="4"/>
  <c r="M531" i="4"/>
  <c r="L531" i="4"/>
  <c r="K531" i="4"/>
  <c r="J531" i="4"/>
  <c r="I531" i="4"/>
  <c r="H531" i="4"/>
  <c r="P530" i="4"/>
  <c r="O530" i="4"/>
  <c r="N530" i="4"/>
  <c r="M530" i="4"/>
  <c r="L530" i="4"/>
  <c r="K530" i="4"/>
  <c r="J530" i="4"/>
  <c r="I530" i="4"/>
  <c r="H530" i="4"/>
  <c r="P529" i="4"/>
  <c r="O529" i="4"/>
  <c r="N529" i="4"/>
  <c r="M529" i="4"/>
  <c r="L529" i="4"/>
  <c r="K529" i="4"/>
  <c r="J529" i="4"/>
  <c r="I529" i="4"/>
  <c r="H529" i="4"/>
  <c r="P528" i="4"/>
  <c r="O528" i="4"/>
  <c r="N528" i="4"/>
  <c r="M528" i="4"/>
  <c r="L528" i="4"/>
  <c r="K528" i="4"/>
  <c r="J528" i="4"/>
  <c r="I528" i="4"/>
  <c r="H528" i="4"/>
  <c r="P527" i="4"/>
  <c r="O527" i="4"/>
  <c r="N527" i="4"/>
  <c r="M527" i="4"/>
  <c r="L527" i="4"/>
  <c r="K527" i="4"/>
  <c r="J527" i="4"/>
  <c r="I527" i="4"/>
  <c r="H527" i="4"/>
  <c r="P526" i="4"/>
  <c r="O526" i="4"/>
  <c r="N526" i="4"/>
  <c r="M526" i="4"/>
  <c r="L526" i="4"/>
  <c r="K526" i="4"/>
  <c r="J526" i="4"/>
  <c r="I526" i="4"/>
  <c r="H526" i="4"/>
  <c r="P525" i="4"/>
  <c r="O525" i="4"/>
  <c r="N525" i="4"/>
  <c r="M525" i="4"/>
  <c r="L525" i="4"/>
  <c r="K525" i="4"/>
  <c r="J525" i="4"/>
  <c r="I525" i="4"/>
  <c r="H525" i="4"/>
  <c r="P524" i="4"/>
  <c r="O524" i="4"/>
  <c r="N524" i="4"/>
  <c r="M524" i="4"/>
  <c r="L524" i="4"/>
  <c r="K524" i="4"/>
  <c r="J524" i="4"/>
  <c r="I524" i="4"/>
  <c r="H524" i="4"/>
  <c r="P523" i="4"/>
  <c r="O523" i="4"/>
  <c r="N523" i="4"/>
  <c r="M523" i="4"/>
  <c r="L523" i="4"/>
  <c r="K523" i="4"/>
  <c r="J523" i="4"/>
  <c r="I523" i="4"/>
  <c r="H523" i="4"/>
  <c r="P522" i="4"/>
  <c r="O522" i="4"/>
  <c r="N522" i="4"/>
  <c r="M522" i="4"/>
  <c r="L522" i="4"/>
  <c r="K522" i="4"/>
  <c r="J522" i="4"/>
  <c r="I522" i="4"/>
  <c r="H522" i="4"/>
  <c r="P521" i="4"/>
  <c r="O521" i="4"/>
  <c r="N521" i="4"/>
  <c r="M521" i="4"/>
  <c r="L521" i="4"/>
  <c r="K521" i="4"/>
  <c r="J521" i="4"/>
  <c r="I521" i="4"/>
  <c r="H521" i="4"/>
  <c r="P520" i="4"/>
  <c r="O520" i="4"/>
  <c r="N520" i="4"/>
  <c r="M520" i="4"/>
  <c r="L520" i="4"/>
  <c r="K520" i="4"/>
  <c r="J520" i="4"/>
  <c r="I520" i="4"/>
  <c r="H520" i="4"/>
  <c r="P519" i="4"/>
  <c r="O519" i="4"/>
  <c r="N519" i="4"/>
  <c r="M519" i="4"/>
  <c r="L519" i="4"/>
  <c r="K519" i="4"/>
  <c r="J519" i="4"/>
  <c r="I519" i="4"/>
  <c r="H519" i="4"/>
  <c r="P518" i="4"/>
  <c r="O518" i="4"/>
  <c r="N518" i="4"/>
  <c r="M518" i="4"/>
  <c r="L518" i="4"/>
  <c r="K518" i="4"/>
  <c r="J518" i="4"/>
  <c r="I518" i="4"/>
  <c r="H518" i="4"/>
  <c r="P517" i="4"/>
  <c r="O517" i="4"/>
  <c r="N517" i="4"/>
  <c r="M517" i="4"/>
  <c r="L517" i="4"/>
  <c r="K517" i="4"/>
  <c r="J517" i="4"/>
  <c r="I517" i="4"/>
  <c r="H517" i="4"/>
  <c r="P516" i="4"/>
  <c r="O516" i="4"/>
  <c r="N516" i="4"/>
  <c r="M516" i="4"/>
  <c r="L516" i="4"/>
  <c r="K516" i="4"/>
  <c r="J516" i="4"/>
  <c r="I516" i="4"/>
  <c r="H516" i="4"/>
  <c r="P515" i="4"/>
  <c r="O515" i="4"/>
  <c r="N515" i="4"/>
  <c r="M515" i="4"/>
  <c r="L515" i="4"/>
  <c r="K515" i="4"/>
  <c r="J515" i="4"/>
  <c r="I515" i="4"/>
  <c r="H515" i="4"/>
  <c r="P514" i="4"/>
  <c r="O514" i="4"/>
  <c r="N514" i="4"/>
  <c r="M514" i="4"/>
  <c r="L514" i="4"/>
  <c r="K514" i="4"/>
  <c r="J514" i="4"/>
  <c r="I514" i="4"/>
  <c r="H514" i="4"/>
  <c r="P513" i="4"/>
  <c r="O513" i="4"/>
  <c r="N513" i="4"/>
  <c r="M513" i="4"/>
  <c r="L513" i="4"/>
  <c r="K513" i="4"/>
  <c r="J513" i="4"/>
  <c r="I513" i="4"/>
  <c r="H513" i="4"/>
  <c r="P512" i="4"/>
  <c r="O512" i="4"/>
  <c r="N512" i="4"/>
  <c r="M512" i="4"/>
  <c r="L512" i="4"/>
  <c r="K512" i="4"/>
  <c r="J512" i="4"/>
  <c r="I512" i="4"/>
  <c r="H512" i="4"/>
  <c r="P511" i="4"/>
  <c r="O511" i="4"/>
  <c r="N511" i="4"/>
  <c r="M511" i="4"/>
  <c r="L511" i="4"/>
  <c r="K511" i="4"/>
  <c r="J511" i="4"/>
  <c r="I511" i="4"/>
  <c r="H511" i="4"/>
  <c r="P510" i="4"/>
  <c r="O510" i="4"/>
  <c r="N510" i="4"/>
  <c r="M510" i="4"/>
  <c r="L510" i="4"/>
  <c r="K510" i="4"/>
  <c r="J510" i="4"/>
  <c r="I510" i="4"/>
  <c r="H510" i="4"/>
  <c r="P509" i="4"/>
  <c r="O509" i="4"/>
  <c r="N509" i="4"/>
  <c r="M509" i="4"/>
  <c r="L509" i="4"/>
  <c r="K509" i="4"/>
  <c r="J509" i="4"/>
  <c r="I509" i="4"/>
  <c r="H509" i="4"/>
  <c r="P508" i="4"/>
  <c r="O508" i="4"/>
  <c r="N508" i="4"/>
  <c r="M508" i="4"/>
  <c r="L508" i="4"/>
  <c r="K508" i="4"/>
  <c r="J508" i="4"/>
  <c r="I508" i="4"/>
  <c r="H508" i="4"/>
  <c r="P507" i="4"/>
  <c r="O507" i="4"/>
  <c r="N507" i="4"/>
  <c r="M507" i="4"/>
  <c r="L507" i="4"/>
  <c r="K507" i="4"/>
  <c r="J507" i="4"/>
  <c r="I507" i="4"/>
  <c r="H507" i="4"/>
  <c r="P506" i="4"/>
  <c r="O506" i="4"/>
  <c r="N506" i="4"/>
  <c r="M506" i="4"/>
  <c r="L506" i="4"/>
  <c r="K506" i="4"/>
  <c r="J506" i="4"/>
  <c r="I506" i="4"/>
  <c r="H506" i="4"/>
  <c r="P505" i="4"/>
  <c r="O505" i="4"/>
  <c r="N505" i="4"/>
  <c r="M505" i="4"/>
  <c r="L505" i="4"/>
  <c r="K505" i="4"/>
  <c r="J505" i="4"/>
  <c r="I505" i="4"/>
  <c r="H505" i="4"/>
  <c r="P504" i="4"/>
  <c r="O504" i="4"/>
  <c r="N504" i="4"/>
  <c r="M504" i="4"/>
  <c r="L504" i="4"/>
  <c r="K504" i="4"/>
  <c r="J504" i="4"/>
  <c r="I504" i="4"/>
  <c r="H504" i="4"/>
  <c r="P503" i="4"/>
  <c r="O503" i="4"/>
  <c r="N503" i="4"/>
  <c r="M503" i="4"/>
  <c r="L503" i="4"/>
  <c r="K503" i="4"/>
  <c r="J503" i="4"/>
  <c r="I503" i="4"/>
  <c r="H503" i="4"/>
  <c r="P502" i="4"/>
  <c r="O502" i="4"/>
  <c r="N502" i="4"/>
  <c r="M502" i="4"/>
  <c r="L502" i="4"/>
  <c r="K502" i="4"/>
  <c r="J502" i="4"/>
  <c r="I502" i="4"/>
  <c r="H502" i="4"/>
  <c r="P501" i="4"/>
  <c r="O501" i="4"/>
  <c r="N501" i="4"/>
  <c r="M501" i="4"/>
  <c r="L501" i="4"/>
  <c r="K501" i="4"/>
  <c r="J501" i="4"/>
  <c r="I501" i="4"/>
  <c r="H501" i="4"/>
  <c r="P500" i="4"/>
  <c r="O500" i="4"/>
  <c r="N500" i="4"/>
  <c r="M500" i="4"/>
  <c r="L500" i="4"/>
  <c r="K500" i="4"/>
  <c r="J500" i="4"/>
  <c r="I500" i="4"/>
  <c r="H500" i="4"/>
  <c r="P499" i="4"/>
  <c r="O499" i="4"/>
  <c r="N499" i="4"/>
  <c r="M499" i="4"/>
  <c r="L499" i="4"/>
  <c r="K499" i="4"/>
  <c r="J499" i="4"/>
  <c r="I499" i="4"/>
  <c r="H499" i="4"/>
  <c r="P498" i="4"/>
  <c r="O498" i="4"/>
  <c r="N498" i="4"/>
  <c r="M498" i="4"/>
  <c r="L498" i="4"/>
  <c r="K498" i="4"/>
  <c r="J498" i="4"/>
  <c r="I498" i="4"/>
  <c r="H498" i="4"/>
  <c r="P497" i="4"/>
  <c r="O497" i="4"/>
  <c r="N497" i="4"/>
  <c r="M497" i="4"/>
  <c r="L497" i="4"/>
  <c r="K497" i="4"/>
  <c r="J497" i="4"/>
  <c r="I497" i="4"/>
  <c r="H497" i="4"/>
  <c r="P496" i="4"/>
  <c r="O496" i="4"/>
  <c r="N496" i="4"/>
  <c r="M496" i="4"/>
  <c r="L496" i="4"/>
  <c r="K496" i="4"/>
  <c r="J496" i="4"/>
  <c r="I496" i="4"/>
  <c r="H496" i="4"/>
  <c r="P495" i="4"/>
  <c r="O495" i="4"/>
  <c r="N495" i="4"/>
  <c r="M495" i="4"/>
  <c r="L495" i="4"/>
  <c r="K495" i="4"/>
  <c r="J495" i="4"/>
  <c r="I495" i="4"/>
  <c r="H495" i="4"/>
  <c r="P494" i="4"/>
  <c r="O494" i="4"/>
  <c r="N494" i="4"/>
  <c r="M494" i="4"/>
  <c r="L494" i="4"/>
  <c r="K494" i="4"/>
  <c r="J494" i="4"/>
  <c r="I494" i="4"/>
  <c r="H494" i="4"/>
  <c r="P493" i="4"/>
  <c r="O493" i="4"/>
  <c r="N493" i="4"/>
  <c r="M493" i="4"/>
  <c r="L493" i="4"/>
  <c r="K493" i="4"/>
  <c r="J493" i="4"/>
  <c r="I493" i="4"/>
  <c r="H493" i="4"/>
  <c r="P492" i="4"/>
  <c r="O492" i="4"/>
  <c r="N492" i="4"/>
  <c r="M492" i="4"/>
  <c r="L492" i="4"/>
  <c r="K492" i="4"/>
  <c r="J492" i="4"/>
  <c r="I492" i="4"/>
  <c r="H492" i="4"/>
  <c r="P491" i="4"/>
  <c r="O491" i="4"/>
  <c r="N491" i="4"/>
  <c r="M491" i="4"/>
  <c r="L491" i="4"/>
  <c r="K491" i="4"/>
  <c r="J491" i="4"/>
  <c r="I491" i="4"/>
  <c r="H491" i="4"/>
  <c r="P490" i="4"/>
  <c r="O490" i="4"/>
  <c r="N490" i="4"/>
  <c r="M490" i="4"/>
  <c r="L490" i="4"/>
  <c r="K490" i="4"/>
  <c r="J490" i="4"/>
  <c r="I490" i="4"/>
  <c r="H490" i="4"/>
  <c r="P489" i="4"/>
  <c r="O489" i="4"/>
  <c r="N489" i="4"/>
  <c r="M489" i="4"/>
  <c r="L489" i="4"/>
  <c r="K489" i="4"/>
  <c r="J489" i="4"/>
  <c r="I489" i="4"/>
  <c r="H489" i="4"/>
  <c r="P488" i="4"/>
  <c r="O488" i="4"/>
  <c r="N488" i="4"/>
  <c r="M488" i="4"/>
  <c r="L488" i="4"/>
  <c r="K488" i="4"/>
  <c r="J488" i="4"/>
  <c r="I488" i="4"/>
  <c r="H488" i="4"/>
  <c r="P487" i="4"/>
  <c r="O487" i="4"/>
  <c r="N487" i="4"/>
  <c r="M487" i="4"/>
  <c r="L487" i="4"/>
  <c r="K487" i="4"/>
  <c r="J487" i="4"/>
  <c r="I487" i="4"/>
  <c r="H487" i="4"/>
  <c r="P486" i="4"/>
  <c r="O486" i="4"/>
  <c r="N486" i="4"/>
  <c r="M486" i="4"/>
  <c r="L486" i="4"/>
  <c r="K486" i="4"/>
  <c r="J486" i="4"/>
  <c r="I486" i="4"/>
  <c r="H486" i="4"/>
  <c r="P485" i="4"/>
  <c r="O485" i="4"/>
  <c r="N485" i="4"/>
  <c r="M485" i="4"/>
  <c r="L485" i="4"/>
  <c r="K485" i="4"/>
  <c r="J485" i="4"/>
  <c r="I485" i="4"/>
  <c r="H485" i="4"/>
  <c r="P484" i="4"/>
  <c r="O484" i="4"/>
  <c r="N484" i="4"/>
  <c r="M484" i="4"/>
  <c r="L484" i="4"/>
  <c r="K484" i="4"/>
  <c r="J484" i="4"/>
  <c r="I484" i="4"/>
  <c r="H484" i="4"/>
  <c r="P483" i="4"/>
  <c r="O483" i="4"/>
  <c r="N483" i="4"/>
  <c r="M483" i="4"/>
  <c r="L483" i="4"/>
  <c r="K483" i="4"/>
  <c r="J483" i="4"/>
  <c r="I483" i="4"/>
  <c r="H483" i="4"/>
  <c r="P482" i="4"/>
  <c r="O482" i="4"/>
  <c r="N482" i="4"/>
  <c r="M482" i="4"/>
  <c r="L482" i="4"/>
  <c r="K482" i="4"/>
  <c r="J482" i="4"/>
  <c r="I482" i="4"/>
  <c r="H482" i="4"/>
  <c r="P481" i="4"/>
  <c r="O481" i="4"/>
  <c r="N481" i="4"/>
  <c r="M481" i="4"/>
  <c r="L481" i="4"/>
  <c r="K481" i="4"/>
  <c r="J481" i="4"/>
  <c r="I481" i="4"/>
  <c r="H481" i="4"/>
  <c r="P480" i="4"/>
  <c r="O480" i="4"/>
  <c r="N480" i="4"/>
  <c r="M480" i="4"/>
  <c r="L480" i="4"/>
  <c r="K480" i="4"/>
  <c r="J480" i="4"/>
  <c r="I480" i="4"/>
  <c r="H480" i="4"/>
  <c r="P479" i="4"/>
  <c r="O479" i="4"/>
  <c r="N479" i="4"/>
  <c r="M479" i="4"/>
  <c r="L479" i="4"/>
  <c r="K479" i="4"/>
  <c r="J479" i="4"/>
  <c r="I479" i="4"/>
  <c r="H479" i="4"/>
  <c r="P478" i="4"/>
  <c r="O478" i="4"/>
  <c r="N478" i="4"/>
  <c r="M478" i="4"/>
  <c r="L478" i="4"/>
  <c r="K478" i="4"/>
  <c r="J478" i="4"/>
  <c r="I478" i="4"/>
  <c r="H478" i="4"/>
  <c r="P477" i="4"/>
  <c r="O477" i="4"/>
  <c r="N477" i="4"/>
  <c r="M477" i="4"/>
  <c r="L477" i="4"/>
  <c r="K477" i="4"/>
  <c r="J477" i="4"/>
  <c r="I477" i="4"/>
  <c r="H477" i="4"/>
  <c r="P476" i="4"/>
  <c r="O476" i="4"/>
  <c r="N476" i="4"/>
  <c r="M476" i="4"/>
  <c r="L476" i="4"/>
  <c r="K476" i="4"/>
  <c r="J476" i="4"/>
  <c r="I476" i="4"/>
  <c r="H476" i="4"/>
  <c r="P475" i="4"/>
  <c r="O475" i="4"/>
  <c r="N475" i="4"/>
  <c r="M475" i="4"/>
  <c r="L475" i="4"/>
  <c r="K475" i="4"/>
  <c r="J475" i="4"/>
  <c r="I475" i="4"/>
  <c r="H475" i="4"/>
  <c r="P474" i="4"/>
  <c r="O474" i="4"/>
  <c r="N474" i="4"/>
  <c r="M474" i="4"/>
  <c r="L474" i="4"/>
  <c r="K474" i="4"/>
  <c r="J474" i="4"/>
  <c r="I474" i="4"/>
  <c r="H474" i="4"/>
  <c r="P473" i="4"/>
  <c r="O473" i="4"/>
  <c r="N473" i="4"/>
  <c r="M473" i="4"/>
  <c r="L473" i="4"/>
  <c r="K473" i="4"/>
  <c r="J473" i="4"/>
  <c r="I473" i="4"/>
  <c r="H473" i="4"/>
  <c r="P472" i="4"/>
  <c r="O472" i="4"/>
  <c r="N472" i="4"/>
  <c r="M472" i="4"/>
  <c r="L472" i="4"/>
  <c r="K472" i="4"/>
  <c r="J472" i="4"/>
  <c r="I472" i="4"/>
  <c r="H472" i="4"/>
  <c r="P471" i="4"/>
  <c r="O471" i="4"/>
  <c r="N471" i="4"/>
  <c r="M471" i="4"/>
  <c r="L471" i="4"/>
  <c r="K471" i="4"/>
  <c r="J471" i="4"/>
  <c r="I471" i="4"/>
  <c r="H471" i="4"/>
  <c r="P470" i="4"/>
  <c r="O470" i="4"/>
  <c r="N470" i="4"/>
  <c r="M470" i="4"/>
  <c r="L470" i="4"/>
  <c r="K470" i="4"/>
  <c r="J470" i="4"/>
  <c r="I470" i="4"/>
  <c r="H470" i="4"/>
  <c r="P469" i="4"/>
  <c r="O469" i="4"/>
  <c r="N469" i="4"/>
  <c r="M469" i="4"/>
  <c r="L469" i="4"/>
  <c r="K469" i="4"/>
  <c r="J469" i="4"/>
  <c r="I469" i="4"/>
  <c r="H469" i="4"/>
  <c r="P468" i="4"/>
  <c r="O468" i="4"/>
  <c r="N468" i="4"/>
  <c r="M468" i="4"/>
  <c r="L468" i="4"/>
  <c r="K468" i="4"/>
  <c r="J468" i="4"/>
  <c r="I468" i="4"/>
  <c r="H468" i="4"/>
  <c r="P467" i="4"/>
  <c r="O467" i="4"/>
  <c r="N467" i="4"/>
  <c r="M467" i="4"/>
  <c r="L467" i="4"/>
  <c r="K467" i="4"/>
  <c r="J467" i="4"/>
  <c r="I467" i="4"/>
  <c r="H467" i="4"/>
  <c r="P466" i="4"/>
  <c r="O466" i="4"/>
  <c r="N466" i="4"/>
  <c r="M466" i="4"/>
  <c r="L466" i="4"/>
  <c r="K466" i="4"/>
  <c r="J466" i="4"/>
  <c r="I466" i="4"/>
  <c r="H466" i="4"/>
  <c r="P465" i="4"/>
  <c r="O465" i="4"/>
  <c r="N465" i="4"/>
  <c r="M465" i="4"/>
  <c r="L465" i="4"/>
  <c r="K465" i="4"/>
  <c r="J465" i="4"/>
  <c r="I465" i="4"/>
  <c r="H465" i="4"/>
  <c r="P464" i="4"/>
  <c r="O464" i="4"/>
  <c r="N464" i="4"/>
  <c r="M464" i="4"/>
  <c r="L464" i="4"/>
  <c r="K464" i="4"/>
  <c r="J464" i="4"/>
  <c r="I464" i="4"/>
  <c r="H464" i="4"/>
  <c r="P463" i="4"/>
  <c r="O463" i="4"/>
  <c r="N463" i="4"/>
  <c r="M463" i="4"/>
  <c r="L463" i="4"/>
  <c r="K463" i="4"/>
  <c r="J463" i="4"/>
  <c r="I463" i="4"/>
  <c r="H463" i="4"/>
  <c r="P462" i="4"/>
  <c r="O462" i="4"/>
  <c r="N462" i="4"/>
  <c r="M462" i="4"/>
  <c r="L462" i="4"/>
  <c r="K462" i="4"/>
  <c r="J462" i="4"/>
  <c r="I462" i="4"/>
  <c r="H462" i="4"/>
  <c r="P461" i="4"/>
  <c r="O461" i="4"/>
  <c r="N461" i="4"/>
  <c r="M461" i="4"/>
  <c r="L461" i="4"/>
  <c r="K461" i="4"/>
  <c r="J461" i="4"/>
  <c r="I461" i="4"/>
  <c r="H461" i="4"/>
  <c r="P460" i="4"/>
  <c r="O460" i="4"/>
  <c r="N460" i="4"/>
  <c r="M460" i="4"/>
  <c r="L460" i="4"/>
  <c r="K460" i="4"/>
  <c r="J460" i="4"/>
  <c r="I460" i="4"/>
  <c r="H460" i="4"/>
  <c r="P459" i="4"/>
  <c r="O459" i="4"/>
  <c r="N459" i="4"/>
  <c r="M459" i="4"/>
  <c r="L459" i="4"/>
  <c r="K459" i="4"/>
  <c r="J459" i="4"/>
  <c r="I459" i="4"/>
  <c r="H459" i="4"/>
  <c r="P458" i="4"/>
  <c r="O458" i="4"/>
  <c r="N458" i="4"/>
  <c r="M458" i="4"/>
  <c r="L458" i="4"/>
  <c r="K458" i="4"/>
  <c r="J458" i="4"/>
  <c r="I458" i="4"/>
  <c r="H458" i="4"/>
  <c r="P457" i="4"/>
  <c r="O457" i="4"/>
  <c r="N457" i="4"/>
  <c r="M457" i="4"/>
  <c r="L457" i="4"/>
  <c r="K457" i="4"/>
  <c r="J457" i="4"/>
  <c r="I457" i="4"/>
  <c r="H457" i="4"/>
  <c r="P456" i="4"/>
  <c r="O456" i="4"/>
  <c r="N456" i="4"/>
  <c r="M456" i="4"/>
  <c r="L456" i="4"/>
  <c r="K456" i="4"/>
  <c r="J456" i="4"/>
  <c r="I456" i="4"/>
  <c r="H456" i="4"/>
  <c r="P455" i="4"/>
  <c r="O455" i="4"/>
  <c r="N455" i="4"/>
  <c r="M455" i="4"/>
  <c r="L455" i="4"/>
  <c r="K455" i="4"/>
  <c r="J455" i="4"/>
  <c r="I455" i="4"/>
  <c r="H455" i="4"/>
  <c r="P454" i="4"/>
  <c r="O454" i="4"/>
  <c r="N454" i="4"/>
  <c r="M454" i="4"/>
  <c r="L454" i="4"/>
  <c r="K454" i="4"/>
  <c r="J454" i="4"/>
  <c r="I454" i="4"/>
  <c r="H454" i="4"/>
  <c r="P453" i="4"/>
  <c r="O453" i="4"/>
  <c r="N453" i="4"/>
  <c r="M453" i="4"/>
  <c r="L453" i="4"/>
  <c r="K453" i="4"/>
  <c r="J453" i="4"/>
  <c r="I453" i="4"/>
  <c r="H453" i="4"/>
  <c r="P452" i="4"/>
  <c r="O452" i="4"/>
  <c r="N452" i="4"/>
  <c r="M452" i="4"/>
  <c r="L452" i="4"/>
  <c r="K452" i="4"/>
  <c r="J452" i="4"/>
  <c r="I452" i="4"/>
  <c r="H452" i="4"/>
  <c r="P451" i="4"/>
  <c r="O451" i="4"/>
  <c r="N451" i="4"/>
  <c r="M451" i="4"/>
  <c r="L451" i="4"/>
  <c r="K451" i="4"/>
  <c r="J451" i="4"/>
  <c r="I451" i="4"/>
  <c r="H451" i="4"/>
  <c r="P450" i="4"/>
  <c r="O450" i="4"/>
  <c r="N450" i="4"/>
  <c r="M450" i="4"/>
  <c r="L450" i="4"/>
  <c r="K450" i="4"/>
  <c r="J450" i="4"/>
  <c r="I450" i="4"/>
  <c r="H450" i="4"/>
  <c r="P449" i="4"/>
  <c r="O449" i="4"/>
  <c r="N449" i="4"/>
  <c r="M449" i="4"/>
  <c r="L449" i="4"/>
  <c r="K449" i="4"/>
  <c r="J449" i="4"/>
  <c r="I449" i="4"/>
  <c r="H449" i="4"/>
  <c r="P448" i="4"/>
  <c r="O448" i="4"/>
  <c r="N448" i="4"/>
  <c r="M448" i="4"/>
  <c r="L448" i="4"/>
  <c r="K448" i="4"/>
  <c r="J448" i="4"/>
  <c r="I448" i="4"/>
  <c r="H448" i="4"/>
  <c r="P447" i="4"/>
  <c r="O447" i="4"/>
  <c r="N447" i="4"/>
  <c r="M447" i="4"/>
  <c r="L447" i="4"/>
  <c r="K447" i="4"/>
  <c r="J447" i="4"/>
  <c r="I447" i="4"/>
  <c r="H447" i="4"/>
  <c r="P446" i="4"/>
  <c r="O446" i="4"/>
  <c r="N446" i="4"/>
  <c r="M446" i="4"/>
  <c r="L446" i="4"/>
  <c r="K446" i="4"/>
  <c r="J446" i="4"/>
  <c r="I446" i="4"/>
  <c r="H446" i="4"/>
  <c r="P445" i="4"/>
  <c r="O445" i="4"/>
  <c r="N445" i="4"/>
  <c r="M445" i="4"/>
  <c r="L445" i="4"/>
  <c r="K445" i="4"/>
  <c r="J445" i="4"/>
  <c r="I445" i="4"/>
  <c r="H445" i="4"/>
  <c r="P444" i="4"/>
  <c r="O444" i="4"/>
  <c r="N444" i="4"/>
  <c r="M444" i="4"/>
  <c r="L444" i="4"/>
  <c r="K444" i="4"/>
  <c r="J444" i="4"/>
  <c r="I444" i="4"/>
  <c r="H444" i="4"/>
  <c r="P443" i="4"/>
  <c r="O443" i="4"/>
  <c r="N443" i="4"/>
  <c r="M443" i="4"/>
  <c r="L443" i="4"/>
  <c r="K443" i="4"/>
  <c r="J443" i="4"/>
  <c r="I443" i="4"/>
  <c r="H443" i="4"/>
  <c r="P442" i="4"/>
  <c r="O442" i="4"/>
  <c r="N442" i="4"/>
  <c r="M442" i="4"/>
  <c r="L442" i="4"/>
  <c r="K442" i="4"/>
  <c r="J442" i="4"/>
  <c r="I442" i="4"/>
  <c r="H442" i="4"/>
  <c r="P441" i="4"/>
  <c r="O441" i="4"/>
  <c r="N441" i="4"/>
  <c r="M441" i="4"/>
  <c r="L441" i="4"/>
  <c r="K441" i="4"/>
  <c r="J441" i="4"/>
  <c r="I441" i="4"/>
  <c r="H441" i="4"/>
  <c r="P440" i="4"/>
  <c r="O440" i="4"/>
  <c r="N440" i="4"/>
  <c r="M440" i="4"/>
  <c r="L440" i="4"/>
  <c r="K440" i="4"/>
  <c r="J440" i="4"/>
  <c r="I440" i="4"/>
  <c r="H440" i="4"/>
  <c r="P439" i="4"/>
  <c r="O439" i="4"/>
  <c r="N439" i="4"/>
  <c r="M439" i="4"/>
  <c r="L439" i="4"/>
  <c r="K439" i="4"/>
  <c r="J439" i="4"/>
  <c r="I439" i="4"/>
  <c r="H439" i="4"/>
  <c r="P438" i="4"/>
  <c r="O438" i="4"/>
  <c r="N438" i="4"/>
  <c r="M438" i="4"/>
  <c r="L438" i="4"/>
  <c r="K438" i="4"/>
  <c r="J438" i="4"/>
  <c r="I438" i="4"/>
  <c r="H438" i="4"/>
  <c r="P437" i="4"/>
  <c r="O437" i="4"/>
  <c r="N437" i="4"/>
  <c r="M437" i="4"/>
  <c r="L437" i="4"/>
  <c r="K437" i="4"/>
  <c r="J437" i="4"/>
  <c r="I437" i="4"/>
  <c r="H437" i="4"/>
  <c r="P436" i="4"/>
  <c r="O436" i="4"/>
  <c r="N436" i="4"/>
  <c r="M436" i="4"/>
  <c r="L436" i="4"/>
  <c r="K436" i="4"/>
  <c r="J436" i="4"/>
  <c r="I436" i="4"/>
  <c r="H436" i="4"/>
  <c r="P435" i="4"/>
  <c r="O435" i="4"/>
  <c r="N435" i="4"/>
  <c r="M435" i="4"/>
  <c r="L435" i="4"/>
  <c r="K435" i="4"/>
  <c r="J435" i="4"/>
  <c r="I435" i="4"/>
  <c r="H435" i="4"/>
  <c r="P434" i="4"/>
  <c r="O434" i="4"/>
  <c r="N434" i="4"/>
  <c r="M434" i="4"/>
  <c r="L434" i="4"/>
  <c r="K434" i="4"/>
  <c r="J434" i="4"/>
  <c r="I434" i="4"/>
  <c r="H434" i="4"/>
  <c r="P433" i="4"/>
  <c r="O433" i="4"/>
  <c r="N433" i="4"/>
  <c r="M433" i="4"/>
  <c r="L433" i="4"/>
  <c r="K433" i="4"/>
  <c r="J433" i="4"/>
  <c r="I433" i="4"/>
  <c r="H433" i="4"/>
  <c r="P432" i="4"/>
  <c r="O432" i="4"/>
  <c r="N432" i="4"/>
  <c r="M432" i="4"/>
  <c r="L432" i="4"/>
  <c r="K432" i="4"/>
  <c r="J432" i="4"/>
  <c r="I432" i="4"/>
  <c r="H432" i="4"/>
  <c r="P431" i="4"/>
  <c r="O431" i="4"/>
  <c r="N431" i="4"/>
  <c r="M431" i="4"/>
  <c r="L431" i="4"/>
  <c r="K431" i="4"/>
  <c r="J431" i="4"/>
  <c r="I431" i="4"/>
  <c r="H431" i="4"/>
  <c r="P430" i="4"/>
  <c r="O430" i="4"/>
  <c r="N430" i="4"/>
  <c r="M430" i="4"/>
  <c r="L430" i="4"/>
  <c r="K430" i="4"/>
  <c r="J430" i="4"/>
  <c r="I430" i="4"/>
  <c r="H430" i="4"/>
  <c r="P429" i="4"/>
  <c r="O429" i="4"/>
  <c r="N429" i="4"/>
  <c r="M429" i="4"/>
  <c r="L429" i="4"/>
  <c r="K429" i="4"/>
  <c r="J429" i="4"/>
  <c r="I429" i="4"/>
  <c r="H429" i="4"/>
  <c r="P428" i="4"/>
  <c r="O428" i="4"/>
  <c r="N428" i="4"/>
  <c r="M428" i="4"/>
  <c r="L428" i="4"/>
  <c r="K428" i="4"/>
  <c r="J428" i="4"/>
  <c r="I428" i="4"/>
  <c r="H428" i="4"/>
  <c r="P427" i="4"/>
  <c r="O427" i="4"/>
  <c r="N427" i="4"/>
  <c r="M427" i="4"/>
  <c r="L427" i="4"/>
  <c r="K427" i="4"/>
  <c r="J427" i="4"/>
  <c r="I427" i="4"/>
  <c r="H427" i="4"/>
  <c r="P426" i="4"/>
  <c r="O426" i="4"/>
  <c r="N426" i="4"/>
  <c r="M426" i="4"/>
  <c r="L426" i="4"/>
  <c r="K426" i="4"/>
  <c r="J426" i="4"/>
  <c r="I426" i="4"/>
  <c r="H426" i="4"/>
  <c r="P425" i="4"/>
  <c r="O425" i="4"/>
  <c r="N425" i="4"/>
  <c r="M425" i="4"/>
  <c r="L425" i="4"/>
  <c r="K425" i="4"/>
  <c r="J425" i="4"/>
  <c r="I425" i="4"/>
  <c r="H425" i="4"/>
  <c r="P424" i="4"/>
  <c r="O424" i="4"/>
  <c r="N424" i="4"/>
  <c r="M424" i="4"/>
  <c r="L424" i="4"/>
  <c r="K424" i="4"/>
  <c r="J424" i="4"/>
  <c r="I424" i="4"/>
  <c r="H424" i="4"/>
  <c r="P423" i="4"/>
  <c r="O423" i="4"/>
  <c r="N423" i="4"/>
  <c r="M423" i="4"/>
  <c r="L423" i="4"/>
  <c r="K423" i="4"/>
  <c r="J423" i="4"/>
  <c r="I423" i="4"/>
  <c r="H423" i="4"/>
  <c r="P422" i="4"/>
  <c r="O422" i="4"/>
  <c r="N422" i="4"/>
  <c r="M422" i="4"/>
  <c r="L422" i="4"/>
  <c r="K422" i="4"/>
  <c r="J422" i="4"/>
  <c r="I422" i="4"/>
  <c r="H422" i="4"/>
  <c r="P421" i="4"/>
  <c r="O421" i="4"/>
  <c r="N421" i="4"/>
  <c r="M421" i="4"/>
  <c r="L421" i="4"/>
  <c r="K421" i="4"/>
  <c r="J421" i="4"/>
  <c r="I421" i="4"/>
  <c r="H421" i="4"/>
  <c r="P420" i="4"/>
  <c r="O420" i="4"/>
  <c r="N420" i="4"/>
  <c r="M420" i="4"/>
  <c r="L420" i="4"/>
  <c r="K420" i="4"/>
  <c r="J420" i="4"/>
  <c r="I420" i="4"/>
  <c r="H420" i="4"/>
  <c r="P419" i="4"/>
  <c r="O419" i="4"/>
  <c r="N419" i="4"/>
  <c r="M419" i="4"/>
  <c r="L419" i="4"/>
  <c r="K419" i="4"/>
  <c r="J419" i="4"/>
  <c r="I419" i="4"/>
  <c r="H419" i="4"/>
  <c r="P418" i="4"/>
  <c r="O418" i="4"/>
  <c r="N418" i="4"/>
  <c r="M418" i="4"/>
  <c r="L418" i="4"/>
  <c r="K418" i="4"/>
  <c r="J418" i="4"/>
  <c r="I418" i="4"/>
  <c r="H418" i="4"/>
  <c r="P417" i="4"/>
  <c r="O417" i="4"/>
  <c r="N417" i="4"/>
  <c r="M417" i="4"/>
  <c r="L417" i="4"/>
  <c r="K417" i="4"/>
  <c r="J417" i="4"/>
  <c r="I417" i="4"/>
  <c r="H417" i="4"/>
  <c r="P416" i="4"/>
  <c r="O416" i="4"/>
  <c r="N416" i="4"/>
  <c r="M416" i="4"/>
  <c r="L416" i="4"/>
  <c r="K416" i="4"/>
  <c r="J416" i="4"/>
  <c r="I416" i="4"/>
  <c r="H416" i="4"/>
  <c r="P415" i="4"/>
  <c r="O415" i="4"/>
  <c r="N415" i="4"/>
  <c r="M415" i="4"/>
  <c r="L415" i="4"/>
  <c r="K415" i="4"/>
  <c r="J415" i="4"/>
  <c r="I415" i="4"/>
  <c r="H415" i="4"/>
  <c r="P414" i="4"/>
  <c r="O414" i="4"/>
  <c r="N414" i="4"/>
  <c r="M414" i="4"/>
  <c r="L414" i="4"/>
  <c r="K414" i="4"/>
  <c r="J414" i="4"/>
  <c r="I414" i="4"/>
  <c r="H414" i="4"/>
  <c r="P413" i="4"/>
  <c r="O413" i="4"/>
  <c r="N413" i="4"/>
  <c r="M413" i="4"/>
  <c r="L413" i="4"/>
  <c r="K413" i="4"/>
  <c r="J413" i="4"/>
  <c r="I413" i="4"/>
  <c r="H413" i="4"/>
  <c r="P412" i="4"/>
  <c r="O412" i="4"/>
  <c r="N412" i="4"/>
  <c r="M412" i="4"/>
  <c r="L412" i="4"/>
  <c r="K412" i="4"/>
  <c r="J412" i="4"/>
  <c r="I412" i="4"/>
  <c r="H412" i="4"/>
  <c r="P411" i="4"/>
  <c r="O411" i="4"/>
  <c r="N411" i="4"/>
  <c r="M411" i="4"/>
  <c r="L411" i="4"/>
  <c r="K411" i="4"/>
  <c r="J411" i="4"/>
  <c r="I411" i="4"/>
  <c r="H411" i="4"/>
  <c r="P410" i="4"/>
  <c r="O410" i="4"/>
  <c r="N410" i="4"/>
  <c r="M410" i="4"/>
  <c r="L410" i="4"/>
  <c r="K410" i="4"/>
  <c r="J410" i="4"/>
  <c r="I410" i="4"/>
  <c r="H410" i="4"/>
  <c r="P409" i="4"/>
  <c r="O409" i="4"/>
  <c r="N409" i="4"/>
  <c r="M409" i="4"/>
  <c r="L409" i="4"/>
  <c r="K409" i="4"/>
  <c r="J409" i="4"/>
  <c r="I409" i="4"/>
  <c r="H409" i="4"/>
  <c r="P408" i="4"/>
  <c r="O408" i="4"/>
  <c r="N408" i="4"/>
  <c r="M408" i="4"/>
  <c r="L408" i="4"/>
  <c r="K408" i="4"/>
  <c r="J408" i="4"/>
  <c r="I408" i="4"/>
  <c r="H408" i="4"/>
  <c r="P407" i="4"/>
  <c r="O407" i="4"/>
  <c r="N407" i="4"/>
  <c r="M407" i="4"/>
  <c r="L407" i="4"/>
  <c r="K407" i="4"/>
  <c r="J407" i="4"/>
  <c r="I407" i="4"/>
  <c r="H407" i="4"/>
  <c r="P406" i="4"/>
  <c r="O406" i="4"/>
  <c r="N406" i="4"/>
  <c r="M406" i="4"/>
  <c r="L406" i="4"/>
  <c r="K406" i="4"/>
  <c r="J406" i="4"/>
  <c r="I406" i="4"/>
  <c r="H406" i="4"/>
  <c r="P405" i="4"/>
  <c r="O405" i="4"/>
  <c r="N405" i="4"/>
  <c r="M405" i="4"/>
  <c r="L405" i="4"/>
  <c r="K405" i="4"/>
  <c r="J405" i="4"/>
  <c r="I405" i="4"/>
  <c r="H405" i="4"/>
  <c r="P404" i="4"/>
  <c r="O404" i="4"/>
  <c r="N404" i="4"/>
  <c r="M404" i="4"/>
  <c r="L404" i="4"/>
  <c r="K404" i="4"/>
  <c r="J404" i="4"/>
  <c r="I404" i="4"/>
  <c r="H404" i="4"/>
  <c r="P403" i="4"/>
  <c r="O403" i="4"/>
  <c r="N403" i="4"/>
  <c r="M403" i="4"/>
  <c r="L403" i="4"/>
  <c r="K403" i="4"/>
  <c r="J403" i="4"/>
  <c r="I403" i="4"/>
  <c r="H403" i="4"/>
  <c r="P402" i="4"/>
  <c r="O402" i="4"/>
  <c r="N402" i="4"/>
  <c r="M402" i="4"/>
  <c r="L402" i="4"/>
  <c r="K402" i="4"/>
  <c r="J402" i="4"/>
  <c r="I402" i="4"/>
  <c r="H402" i="4"/>
  <c r="P401" i="4"/>
  <c r="O401" i="4"/>
  <c r="N401" i="4"/>
  <c r="M401" i="4"/>
  <c r="L401" i="4"/>
  <c r="K401" i="4"/>
  <c r="J401" i="4"/>
  <c r="I401" i="4"/>
  <c r="H401" i="4"/>
  <c r="P400" i="4"/>
  <c r="O400" i="4"/>
  <c r="N400" i="4"/>
  <c r="M400" i="4"/>
  <c r="L400" i="4"/>
  <c r="K400" i="4"/>
  <c r="J400" i="4"/>
  <c r="I400" i="4"/>
  <c r="H400" i="4"/>
  <c r="P399" i="4"/>
  <c r="O399" i="4"/>
  <c r="N399" i="4"/>
  <c r="M399" i="4"/>
  <c r="L399" i="4"/>
  <c r="K399" i="4"/>
  <c r="J399" i="4"/>
  <c r="I399" i="4"/>
  <c r="H399" i="4"/>
  <c r="P398" i="4"/>
  <c r="O398" i="4"/>
  <c r="N398" i="4"/>
  <c r="M398" i="4"/>
  <c r="L398" i="4"/>
  <c r="K398" i="4"/>
  <c r="J398" i="4"/>
  <c r="I398" i="4"/>
  <c r="H398" i="4"/>
  <c r="P397" i="4"/>
  <c r="O397" i="4"/>
  <c r="N397" i="4"/>
  <c r="M397" i="4"/>
  <c r="L397" i="4"/>
  <c r="K397" i="4"/>
  <c r="J397" i="4"/>
  <c r="I397" i="4"/>
  <c r="H397" i="4"/>
  <c r="P396" i="4"/>
  <c r="O396" i="4"/>
  <c r="N396" i="4"/>
  <c r="M396" i="4"/>
  <c r="L396" i="4"/>
  <c r="K396" i="4"/>
  <c r="J396" i="4"/>
  <c r="I396" i="4"/>
  <c r="H396" i="4"/>
  <c r="P395" i="4"/>
  <c r="O395" i="4"/>
  <c r="N395" i="4"/>
  <c r="M395" i="4"/>
  <c r="L395" i="4"/>
  <c r="K395" i="4"/>
  <c r="J395" i="4"/>
  <c r="I395" i="4"/>
  <c r="H395" i="4"/>
  <c r="P394" i="4"/>
  <c r="O394" i="4"/>
  <c r="N394" i="4"/>
  <c r="M394" i="4"/>
  <c r="L394" i="4"/>
  <c r="K394" i="4"/>
  <c r="J394" i="4"/>
  <c r="I394" i="4"/>
  <c r="H394" i="4"/>
  <c r="P393" i="4"/>
  <c r="O393" i="4"/>
  <c r="N393" i="4"/>
  <c r="M393" i="4"/>
  <c r="L393" i="4"/>
  <c r="K393" i="4"/>
  <c r="J393" i="4"/>
  <c r="I393" i="4"/>
  <c r="H393" i="4"/>
  <c r="P392" i="4"/>
  <c r="O392" i="4"/>
  <c r="N392" i="4"/>
  <c r="M392" i="4"/>
  <c r="L392" i="4"/>
  <c r="K392" i="4"/>
  <c r="J392" i="4"/>
  <c r="I392" i="4"/>
  <c r="H392" i="4"/>
  <c r="P391" i="4"/>
  <c r="O391" i="4"/>
  <c r="N391" i="4"/>
  <c r="M391" i="4"/>
  <c r="L391" i="4"/>
  <c r="K391" i="4"/>
  <c r="J391" i="4"/>
  <c r="I391" i="4"/>
  <c r="H391" i="4"/>
  <c r="P390" i="4"/>
  <c r="O390" i="4"/>
  <c r="N390" i="4"/>
  <c r="M390" i="4"/>
  <c r="L390" i="4"/>
  <c r="K390" i="4"/>
  <c r="J390" i="4"/>
  <c r="I390" i="4"/>
  <c r="H390" i="4"/>
  <c r="P389" i="4"/>
  <c r="O389" i="4"/>
  <c r="N389" i="4"/>
  <c r="M389" i="4"/>
  <c r="L389" i="4"/>
  <c r="K389" i="4"/>
  <c r="J389" i="4"/>
  <c r="I389" i="4"/>
  <c r="H389" i="4"/>
  <c r="P388" i="4"/>
  <c r="O388" i="4"/>
  <c r="N388" i="4"/>
  <c r="M388" i="4"/>
  <c r="L388" i="4"/>
  <c r="K388" i="4"/>
  <c r="J388" i="4"/>
  <c r="I388" i="4"/>
  <c r="H388" i="4"/>
  <c r="P387" i="4"/>
  <c r="O387" i="4"/>
  <c r="N387" i="4"/>
  <c r="M387" i="4"/>
  <c r="L387" i="4"/>
  <c r="K387" i="4"/>
  <c r="J387" i="4"/>
  <c r="I387" i="4"/>
  <c r="H387" i="4"/>
  <c r="P386" i="4"/>
  <c r="O386" i="4"/>
  <c r="N386" i="4"/>
  <c r="M386" i="4"/>
  <c r="L386" i="4"/>
  <c r="K386" i="4"/>
  <c r="J386" i="4"/>
  <c r="I386" i="4"/>
  <c r="H386" i="4"/>
  <c r="P385" i="4"/>
  <c r="O385" i="4"/>
  <c r="N385" i="4"/>
  <c r="M385" i="4"/>
  <c r="L385" i="4"/>
  <c r="K385" i="4"/>
  <c r="J385" i="4"/>
  <c r="I385" i="4"/>
  <c r="H385" i="4"/>
  <c r="P384" i="4"/>
  <c r="O384" i="4"/>
  <c r="N384" i="4"/>
  <c r="M384" i="4"/>
  <c r="L384" i="4"/>
  <c r="K384" i="4"/>
  <c r="J384" i="4"/>
  <c r="I384" i="4"/>
  <c r="H384" i="4"/>
  <c r="P383" i="4"/>
  <c r="O383" i="4"/>
  <c r="N383" i="4"/>
  <c r="M383" i="4"/>
  <c r="L383" i="4"/>
  <c r="K383" i="4"/>
  <c r="J383" i="4"/>
  <c r="I383" i="4"/>
  <c r="H383" i="4"/>
  <c r="P382" i="4"/>
  <c r="O382" i="4"/>
  <c r="N382" i="4"/>
  <c r="M382" i="4"/>
  <c r="L382" i="4"/>
  <c r="K382" i="4"/>
  <c r="J382" i="4"/>
  <c r="I382" i="4"/>
  <c r="H382" i="4"/>
  <c r="P381" i="4"/>
  <c r="O381" i="4"/>
  <c r="N381" i="4"/>
  <c r="M381" i="4"/>
  <c r="L381" i="4"/>
  <c r="K381" i="4"/>
  <c r="J381" i="4"/>
  <c r="I381" i="4"/>
  <c r="H381" i="4"/>
  <c r="P380" i="4"/>
  <c r="O380" i="4"/>
  <c r="N380" i="4"/>
  <c r="M380" i="4"/>
  <c r="L380" i="4"/>
  <c r="K380" i="4"/>
  <c r="J380" i="4"/>
  <c r="I380" i="4"/>
  <c r="H380" i="4"/>
  <c r="P379" i="4"/>
  <c r="O379" i="4"/>
  <c r="N379" i="4"/>
  <c r="M379" i="4"/>
  <c r="L379" i="4"/>
  <c r="K379" i="4"/>
  <c r="J379" i="4"/>
  <c r="I379" i="4"/>
  <c r="H379" i="4"/>
  <c r="P378" i="4"/>
  <c r="O378" i="4"/>
  <c r="N378" i="4"/>
  <c r="M378" i="4"/>
  <c r="L378" i="4"/>
  <c r="K378" i="4"/>
  <c r="J378" i="4"/>
  <c r="I378" i="4"/>
  <c r="H378" i="4"/>
  <c r="P377" i="4"/>
  <c r="O377" i="4"/>
  <c r="N377" i="4"/>
  <c r="M377" i="4"/>
  <c r="L377" i="4"/>
  <c r="K377" i="4"/>
  <c r="J377" i="4"/>
  <c r="I377" i="4"/>
  <c r="H377" i="4"/>
  <c r="P376" i="4"/>
  <c r="O376" i="4"/>
  <c r="N376" i="4"/>
  <c r="M376" i="4"/>
  <c r="L376" i="4"/>
  <c r="K376" i="4"/>
  <c r="J376" i="4"/>
  <c r="I376" i="4"/>
  <c r="H376" i="4"/>
  <c r="P375" i="4"/>
  <c r="O375" i="4"/>
  <c r="N375" i="4"/>
  <c r="M375" i="4"/>
  <c r="L375" i="4"/>
  <c r="K375" i="4"/>
  <c r="J375" i="4"/>
  <c r="I375" i="4"/>
  <c r="H375" i="4"/>
  <c r="P374" i="4"/>
  <c r="O374" i="4"/>
  <c r="N374" i="4"/>
  <c r="M374" i="4"/>
  <c r="L374" i="4"/>
  <c r="K374" i="4"/>
  <c r="J374" i="4"/>
  <c r="I374" i="4"/>
  <c r="H374" i="4"/>
  <c r="P373" i="4"/>
  <c r="O373" i="4"/>
  <c r="N373" i="4"/>
  <c r="M373" i="4"/>
  <c r="L373" i="4"/>
  <c r="K373" i="4"/>
  <c r="J373" i="4"/>
  <c r="I373" i="4"/>
  <c r="H373" i="4"/>
  <c r="P372" i="4"/>
  <c r="O372" i="4"/>
  <c r="N372" i="4"/>
  <c r="M372" i="4"/>
  <c r="L372" i="4"/>
  <c r="K372" i="4"/>
  <c r="J372" i="4"/>
  <c r="I372" i="4"/>
  <c r="H372" i="4"/>
  <c r="P371" i="4"/>
  <c r="O371" i="4"/>
  <c r="N371" i="4"/>
  <c r="M371" i="4"/>
  <c r="L371" i="4"/>
  <c r="K371" i="4"/>
  <c r="J371" i="4"/>
  <c r="I371" i="4"/>
  <c r="H371" i="4"/>
  <c r="P370" i="4"/>
  <c r="O370" i="4"/>
  <c r="N370" i="4"/>
  <c r="M370" i="4"/>
  <c r="L370" i="4"/>
  <c r="K370" i="4"/>
  <c r="J370" i="4"/>
  <c r="I370" i="4"/>
  <c r="H370" i="4"/>
  <c r="P369" i="4"/>
  <c r="O369" i="4"/>
  <c r="N369" i="4"/>
  <c r="M369" i="4"/>
  <c r="L369" i="4"/>
  <c r="K369" i="4"/>
  <c r="J369" i="4"/>
  <c r="I369" i="4"/>
  <c r="H369" i="4"/>
  <c r="P368" i="4"/>
  <c r="O368" i="4"/>
  <c r="N368" i="4"/>
  <c r="M368" i="4"/>
  <c r="L368" i="4"/>
  <c r="K368" i="4"/>
  <c r="J368" i="4"/>
  <c r="I368" i="4"/>
  <c r="H368" i="4"/>
  <c r="P367" i="4"/>
  <c r="O367" i="4"/>
  <c r="N367" i="4"/>
  <c r="M367" i="4"/>
  <c r="L367" i="4"/>
  <c r="K367" i="4"/>
  <c r="J367" i="4"/>
  <c r="I367" i="4"/>
  <c r="H367" i="4"/>
  <c r="P366" i="4"/>
  <c r="O366" i="4"/>
  <c r="N366" i="4"/>
  <c r="M366" i="4"/>
  <c r="L366" i="4"/>
  <c r="K366" i="4"/>
  <c r="J366" i="4"/>
  <c r="I366" i="4"/>
  <c r="H366" i="4"/>
  <c r="P365" i="4"/>
  <c r="O365" i="4"/>
  <c r="N365" i="4"/>
  <c r="M365" i="4"/>
  <c r="L365" i="4"/>
  <c r="K365" i="4"/>
  <c r="J365" i="4"/>
  <c r="I365" i="4"/>
  <c r="H365" i="4"/>
  <c r="P364" i="4"/>
  <c r="O364" i="4"/>
  <c r="N364" i="4"/>
  <c r="M364" i="4"/>
  <c r="L364" i="4"/>
  <c r="K364" i="4"/>
  <c r="J364" i="4"/>
  <c r="I364" i="4"/>
  <c r="H364" i="4"/>
  <c r="P363" i="4"/>
  <c r="O363" i="4"/>
  <c r="N363" i="4"/>
  <c r="M363" i="4"/>
  <c r="L363" i="4"/>
  <c r="K363" i="4"/>
  <c r="J363" i="4"/>
  <c r="I363" i="4"/>
  <c r="H363" i="4"/>
  <c r="P362" i="4"/>
  <c r="O362" i="4"/>
  <c r="N362" i="4"/>
  <c r="M362" i="4"/>
  <c r="L362" i="4"/>
  <c r="K362" i="4"/>
  <c r="J362" i="4"/>
  <c r="I362" i="4"/>
  <c r="H362" i="4"/>
  <c r="P361" i="4"/>
  <c r="O361" i="4"/>
  <c r="N361" i="4"/>
  <c r="M361" i="4"/>
  <c r="L361" i="4"/>
  <c r="K361" i="4"/>
  <c r="J361" i="4"/>
  <c r="I361" i="4"/>
  <c r="H361" i="4"/>
  <c r="P360" i="4"/>
  <c r="O360" i="4"/>
  <c r="N360" i="4"/>
  <c r="M360" i="4"/>
  <c r="L360" i="4"/>
  <c r="K360" i="4"/>
  <c r="J360" i="4"/>
  <c r="I360" i="4"/>
  <c r="H360" i="4"/>
  <c r="P359" i="4"/>
  <c r="O359" i="4"/>
  <c r="N359" i="4"/>
  <c r="M359" i="4"/>
  <c r="L359" i="4"/>
  <c r="K359" i="4"/>
  <c r="J359" i="4"/>
  <c r="I359" i="4"/>
  <c r="H359" i="4"/>
  <c r="P358" i="4"/>
  <c r="O358" i="4"/>
  <c r="N358" i="4"/>
  <c r="M358" i="4"/>
  <c r="L358" i="4"/>
  <c r="K358" i="4"/>
  <c r="J358" i="4"/>
  <c r="I358" i="4"/>
  <c r="H358" i="4"/>
  <c r="P357" i="4"/>
  <c r="O357" i="4"/>
  <c r="N357" i="4"/>
  <c r="M357" i="4"/>
  <c r="L357" i="4"/>
  <c r="K357" i="4"/>
  <c r="J357" i="4"/>
  <c r="I357" i="4"/>
  <c r="H357" i="4"/>
  <c r="P356" i="4"/>
  <c r="O356" i="4"/>
  <c r="N356" i="4"/>
  <c r="M356" i="4"/>
  <c r="L356" i="4"/>
  <c r="K356" i="4"/>
  <c r="J356" i="4"/>
  <c r="I356" i="4"/>
  <c r="H356" i="4"/>
  <c r="P355" i="4"/>
  <c r="O355" i="4"/>
  <c r="N355" i="4"/>
  <c r="M355" i="4"/>
  <c r="L355" i="4"/>
  <c r="K355" i="4"/>
  <c r="J355" i="4"/>
  <c r="I355" i="4"/>
  <c r="H355" i="4"/>
  <c r="P354" i="4"/>
  <c r="O354" i="4"/>
  <c r="N354" i="4"/>
  <c r="M354" i="4"/>
  <c r="L354" i="4"/>
  <c r="K354" i="4"/>
  <c r="J354" i="4"/>
  <c r="I354" i="4"/>
  <c r="H354" i="4"/>
  <c r="P353" i="4"/>
  <c r="O353" i="4"/>
  <c r="N353" i="4"/>
  <c r="M353" i="4"/>
  <c r="L353" i="4"/>
  <c r="K353" i="4"/>
  <c r="J353" i="4"/>
  <c r="I353" i="4"/>
  <c r="H353" i="4"/>
  <c r="P352" i="4"/>
  <c r="O352" i="4"/>
  <c r="N352" i="4"/>
  <c r="M352" i="4"/>
  <c r="L352" i="4"/>
  <c r="K352" i="4"/>
  <c r="J352" i="4"/>
  <c r="I352" i="4"/>
  <c r="H352" i="4"/>
  <c r="P351" i="4"/>
  <c r="O351" i="4"/>
  <c r="N351" i="4"/>
  <c r="M351" i="4"/>
  <c r="L351" i="4"/>
  <c r="K351" i="4"/>
  <c r="J351" i="4"/>
  <c r="I351" i="4"/>
  <c r="H351" i="4"/>
  <c r="P350" i="4"/>
  <c r="O350" i="4"/>
  <c r="N350" i="4"/>
  <c r="M350" i="4"/>
  <c r="L350" i="4"/>
  <c r="K350" i="4"/>
  <c r="J350" i="4"/>
  <c r="I350" i="4"/>
  <c r="H350" i="4"/>
  <c r="P349" i="4"/>
  <c r="O349" i="4"/>
  <c r="N349" i="4"/>
  <c r="M349" i="4"/>
  <c r="L349" i="4"/>
  <c r="K349" i="4"/>
  <c r="J349" i="4"/>
  <c r="I349" i="4"/>
  <c r="H349" i="4"/>
  <c r="P348" i="4"/>
  <c r="O348" i="4"/>
  <c r="N348" i="4"/>
  <c r="M348" i="4"/>
  <c r="L348" i="4"/>
  <c r="K348" i="4"/>
  <c r="J348" i="4"/>
  <c r="I348" i="4"/>
  <c r="H348" i="4"/>
  <c r="P347" i="4"/>
  <c r="O347" i="4"/>
  <c r="N347" i="4"/>
  <c r="M347" i="4"/>
  <c r="L347" i="4"/>
  <c r="K347" i="4"/>
  <c r="J347" i="4"/>
  <c r="I347" i="4"/>
  <c r="H347" i="4"/>
  <c r="P346" i="4"/>
  <c r="O346" i="4"/>
  <c r="N346" i="4"/>
  <c r="M346" i="4"/>
  <c r="L346" i="4"/>
  <c r="K346" i="4"/>
  <c r="J346" i="4"/>
  <c r="I346" i="4"/>
  <c r="H346" i="4"/>
  <c r="P345" i="4"/>
  <c r="O345" i="4"/>
  <c r="N345" i="4"/>
  <c r="M345" i="4"/>
  <c r="L345" i="4"/>
  <c r="K345" i="4"/>
  <c r="J345" i="4"/>
  <c r="I345" i="4"/>
  <c r="H345" i="4"/>
  <c r="P344" i="4"/>
  <c r="O344" i="4"/>
  <c r="N344" i="4"/>
  <c r="M344" i="4"/>
  <c r="L344" i="4"/>
  <c r="K344" i="4"/>
  <c r="J344" i="4"/>
  <c r="I344" i="4"/>
  <c r="H344" i="4"/>
  <c r="P343" i="4"/>
  <c r="O343" i="4"/>
  <c r="N343" i="4"/>
  <c r="M343" i="4"/>
  <c r="L343" i="4"/>
  <c r="K343" i="4"/>
  <c r="J343" i="4"/>
  <c r="I343" i="4"/>
  <c r="H343" i="4"/>
  <c r="P342" i="4"/>
  <c r="O342" i="4"/>
  <c r="N342" i="4"/>
  <c r="M342" i="4"/>
  <c r="L342" i="4"/>
  <c r="K342" i="4"/>
  <c r="J342" i="4"/>
  <c r="I342" i="4"/>
  <c r="H342" i="4"/>
  <c r="P341" i="4"/>
  <c r="O341" i="4"/>
  <c r="N341" i="4"/>
  <c r="M341" i="4"/>
  <c r="L341" i="4"/>
  <c r="K341" i="4"/>
  <c r="J341" i="4"/>
  <c r="I341" i="4"/>
  <c r="H341" i="4"/>
  <c r="P340" i="4"/>
  <c r="O340" i="4"/>
  <c r="N340" i="4"/>
  <c r="M340" i="4"/>
  <c r="L340" i="4"/>
  <c r="K340" i="4"/>
  <c r="J340" i="4"/>
  <c r="I340" i="4"/>
  <c r="H340" i="4"/>
  <c r="P339" i="4"/>
  <c r="O339" i="4"/>
  <c r="N339" i="4"/>
  <c r="M339" i="4"/>
  <c r="L339" i="4"/>
  <c r="K339" i="4"/>
  <c r="J339" i="4"/>
  <c r="I339" i="4"/>
  <c r="H339" i="4"/>
  <c r="P338" i="4"/>
  <c r="O338" i="4"/>
  <c r="N338" i="4"/>
  <c r="M338" i="4"/>
  <c r="L338" i="4"/>
  <c r="K338" i="4"/>
  <c r="J338" i="4"/>
  <c r="I338" i="4"/>
  <c r="H338" i="4"/>
  <c r="P337" i="4"/>
  <c r="O337" i="4"/>
  <c r="N337" i="4"/>
  <c r="M337" i="4"/>
  <c r="L337" i="4"/>
  <c r="K337" i="4"/>
  <c r="J337" i="4"/>
  <c r="I337" i="4"/>
  <c r="H337" i="4"/>
  <c r="P336" i="4"/>
  <c r="O336" i="4"/>
  <c r="N336" i="4"/>
  <c r="M336" i="4"/>
  <c r="L336" i="4"/>
  <c r="K336" i="4"/>
  <c r="J336" i="4"/>
  <c r="I336" i="4"/>
  <c r="H336" i="4"/>
  <c r="P335" i="4"/>
  <c r="O335" i="4"/>
  <c r="N335" i="4"/>
  <c r="M335" i="4"/>
  <c r="L335" i="4"/>
  <c r="K335" i="4"/>
  <c r="J335" i="4"/>
  <c r="I335" i="4"/>
  <c r="H335" i="4"/>
  <c r="P334" i="4"/>
  <c r="O334" i="4"/>
  <c r="N334" i="4"/>
  <c r="M334" i="4"/>
  <c r="L334" i="4"/>
  <c r="K334" i="4"/>
  <c r="J334" i="4"/>
  <c r="I334" i="4"/>
  <c r="H334" i="4"/>
  <c r="P333" i="4"/>
  <c r="O333" i="4"/>
  <c r="N333" i="4"/>
  <c r="M333" i="4"/>
  <c r="L333" i="4"/>
  <c r="K333" i="4"/>
  <c r="J333" i="4"/>
  <c r="I333" i="4"/>
  <c r="H333" i="4"/>
  <c r="P332" i="4"/>
  <c r="O332" i="4"/>
  <c r="N332" i="4"/>
  <c r="M332" i="4"/>
  <c r="L332" i="4"/>
  <c r="K332" i="4"/>
  <c r="J332" i="4"/>
  <c r="I332" i="4"/>
  <c r="H332" i="4"/>
  <c r="P331" i="4"/>
  <c r="O331" i="4"/>
  <c r="N331" i="4"/>
  <c r="M331" i="4"/>
  <c r="L331" i="4"/>
  <c r="K331" i="4"/>
  <c r="J331" i="4"/>
  <c r="I331" i="4"/>
  <c r="H331" i="4"/>
  <c r="P330" i="4"/>
  <c r="O330" i="4"/>
  <c r="N330" i="4"/>
  <c r="M330" i="4"/>
  <c r="L330" i="4"/>
  <c r="K330" i="4"/>
  <c r="J330" i="4"/>
  <c r="I330" i="4"/>
  <c r="H330" i="4"/>
  <c r="P329" i="4"/>
  <c r="O329" i="4"/>
  <c r="N329" i="4"/>
  <c r="M329" i="4"/>
  <c r="L329" i="4"/>
  <c r="K329" i="4"/>
  <c r="J329" i="4"/>
  <c r="I329" i="4"/>
  <c r="H329" i="4"/>
  <c r="P328" i="4"/>
  <c r="O328" i="4"/>
  <c r="N328" i="4"/>
  <c r="M328" i="4"/>
  <c r="L328" i="4"/>
  <c r="K328" i="4"/>
  <c r="J328" i="4"/>
  <c r="I328" i="4"/>
  <c r="H328" i="4"/>
  <c r="P327" i="4"/>
  <c r="O327" i="4"/>
  <c r="N327" i="4"/>
  <c r="M327" i="4"/>
  <c r="L327" i="4"/>
  <c r="K327" i="4"/>
  <c r="J327" i="4"/>
  <c r="I327" i="4"/>
  <c r="H327" i="4"/>
  <c r="P326" i="4"/>
  <c r="O326" i="4"/>
  <c r="N326" i="4"/>
  <c r="M326" i="4"/>
  <c r="L326" i="4"/>
  <c r="K326" i="4"/>
  <c r="J326" i="4"/>
  <c r="I326" i="4"/>
  <c r="H326" i="4"/>
  <c r="P325" i="4"/>
  <c r="O325" i="4"/>
  <c r="N325" i="4"/>
  <c r="M325" i="4"/>
  <c r="L325" i="4"/>
  <c r="K325" i="4"/>
  <c r="J325" i="4"/>
  <c r="I325" i="4"/>
  <c r="H325" i="4"/>
  <c r="P324" i="4"/>
  <c r="O324" i="4"/>
  <c r="N324" i="4"/>
  <c r="M324" i="4"/>
  <c r="L324" i="4"/>
  <c r="K324" i="4"/>
  <c r="J324" i="4"/>
  <c r="I324" i="4"/>
  <c r="H324" i="4"/>
  <c r="P323" i="4"/>
  <c r="O323" i="4"/>
  <c r="N323" i="4"/>
  <c r="M323" i="4"/>
  <c r="L323" i="4"/>
  <c r="K323" i="4"/>
  <c r="J323" i="4"/>
  <c r="I323" i="4"/>
  <c r="H323" i="4"/>
  <c r="P322" i="4"/>
  <c r="O322" i="4"/>
  <c r="N322" i="4"/>
  <c r="M322" i="4"/>
  <c r="L322" i="4"/>
  <c r="K322" i="4"/>
  <c r="J322" i="4"/>
  <c r="I322" i="4"/>
  <c r="H322" i="4"/>
  <c r="P321" i="4"/>
  <c r="O321" i="4"/>
  <c r="N321" i="4"/>
  <c r="M321" i="4"/>
  <c r="L321" i="4"/>
  <c r="K321" i="4"/>
  <c r="J321" i="4"/>
  <c r="I321" i="4"/>
  <c r="H321" i="4"/>
  <c r="P320" i="4"/>
  <c r="O320" i="4"/>
  <c r="N320" i="4"/>
  <c r="M320" i="4"/>
  <c r="L320" i="4"/>
  <c r="K320" i="4"/>
  <c r="J320" i="4"/>
  <c r="I320" i="4"/>
  <c r="H320" i="4"/>
  <c r="P319" i="4"/>
  <c r="O319" i="4"/>
  <c r="N319" i="4"/>
  <c r="M319" i="4"/>
  <c r="L319" i="4"/>
  <c r="K319" i="4"/>
  <c r="J319" i="4"/>
  <c r="I319" i="4"/>
  <c r="H319" i="4"/>
  <c r="P318" i="4"/>
  <c r="O318" i="4"/>
  <c r="N318" i="4"/>
  <c r="M318" i="4"/>
  <c r="L318" i="4"/>
  <c r="K318" i="4"/>
  <c r="J318" i="4"/>
  <c r="I318" i="4"/>
  <c r="H318" i="4"/>
  <c r="P317" i="4"/>
  <c r="O317" i="4"/>
  <c r="N317" i="4"/>
  <c r="M317" i="4"/>
  <c r="L317" i="4"/>
  <c r="K317" i="4"/>
  <c r="J317" i="4"/>
  <c r="I317" i="4"/>
  <c r="H317" i="4"/>
  <c r="P316" i="4"/>
  <c r="O316" i="4"/>
  <c r="N316" i="4"/>
  <c r="M316" i="4"/>
  <c r="L316" i="4"/>
  <c r="K316" i="4"/>
  <c r="J316" i="4"/>
  <c r="I316" i="4"/>
  <c r="H316" i="4"/>
  <c r="P315" i="4"/>
  <c r="O315" i="4"/>
  <c r="N315" i="4"/>
  <c r="M315" i="4"/>
  <c r="L315" i="4"/>
  <c r="K315" i="4"/>
  <c r="J315" i="4"/>
  <c r="I315" i="4"/>
  <c r="H315" i="4"/>
  <c r="P314" i="4"/>
  <c r="O314" i="4"/>
  <c r="N314" i="4"/>
  <c r="M314" i="4"/>
  <c r="L314" i="4"/>
  <c r="K314" i="4"/>
  <c r="J314" i="4"/>
  <c r="I314" i="4"/>
  <c r="H314" i="4"/>
  <c r="P313" i="4"/>
  <c r="O313" i="4"/>
  <c r="N313" i="4"/>
  <c r="M313" i="4"/>
  <c r="L313" i="4"/>
  <c r="K313" i="4"/>
  <c r="J313" i="4"/>
  <c r="I313" i="4"/>
  <c r="H313" i="4"/>
  <c r="P312" i="4"/>
  <c r="O312" i="4"/>
  <c r="N312" i="4"/>
  <c r="M312" i="4"/>
  <c r="L312" i="4"/>
  <c r="K312" i="4"/>
  <c r="J312" i="4"/>
  <c r="I312" i="4"/>
  <c r="H312" i="4"/>
  <c r="P311" i="4"/>
  <c r="O311" i="4"/>
  <c r="N311" i="4"/>
  <c r="M311" i="4"/>
  <c r="L311" i="4"/>
  <c r="K311" i="4"/>
  <c r="J311" i="4"/>
  <c r="I311" i="4"/>
  <c r="H311" i="4"/>
  <c r="P310" i="4"/>
  <c r="O310" i="4"/>
  <c r="N310" i="4"/>
  <c r="M310" i="4"/>
  <c r="L310" i="4"/>
  <c r="K310" i="4"/>
  <c r="J310" i="4"/>
  <c r="I310" i="4"/>
  <c r="H310" i="4"/>
  <c r="P309" i="4"/>
  <c r="O309" i="4"/>
  <c r="N309" i="4"/>
  <c r="M309" i="4"/>
  <c r="L309" i="4"/>
  <c r="K309" i="4"/>
  <c r="J309" i="4"/>
  <c r="I309" i="4"/>
  <c r="H309" i="4"/>
  <c r="P308" i="4"/>
  <c r="O308" i="4"/>
  <c r="N308" i="4"/>
  <c r="M308" i="4"/>
  <c r="L308" i="4"/>
  <c r="K308" i="4"/>
  <c r="J308" i="4"/>
  <c r="I308" i="4"/>
  <c r="H308" i="4"/>
  <c r="P307" i="4"/>
  <c r="O307" i="4"/>
  <c r="N307" i="4"/>
  <c r="M307" i="4"/>
  <c r="L307" i="4"/>
  <c r="K307" i="4"/>
  <c r="J307" i="4"/>
  <c r="I307" i="4"/>
  <c r="H307" i="4"/>
  <c r="P306" i="4"/>
  <c r="O306" i="4"/>
  <c r="N306" i="4"/>
  <c r="M306" i="4"/>
  <c r="L306" i="4"/>
  <c r="K306" i="4"/>
  <c r="J306" i="4"/>
  <c r="I306" i="4"/>
  <c r="H306" i="4"/>
  <c r="P305" i="4"/>
  <c r="O305" i="4"/>
  <c r="N305" i="4"/>
  <c r="M305" i="4"/>
  <c r="L305" i="4"/>
  <c r="K305" i="4"/>
  <c r="J305" i="4"/>
  <c r="I305" i="4"/>
  <c r="H305" i="4"/>
  <c r="P304" i="4"/>
  <c r="O304" i="4"/>
  <c r="N304" i="4"/>
  <c r="M304" i="4"/>
  <c r="L304" i="4"/>
  <c r="K304" i="4"/>
  <c r="J304" i="4"/>
  <c r="I304" i="4"/>
  <c r="H304" i="4"/>
  <c r="P303" i="4"/>
  <c r="O303" i="4"/>
  <c r="N303" i="4"/>
  <c r="M303" i="4"/>
  <c r="L303" i="4"/>
  <c r="K303" i="4"/>
  <c r="J303" i="4"/>
  <c r="I303" i="4"/>
  <c r="H303" i="4"/>
  <c r="P302" i="4"/>
  <c r="O302" i="4"/>
  <c r="N302" i="4"/>
  <c r="M302" i="4"/>
  <c r="L302" i="4"/>
  <c r="K302" i="4"/>
  <c r="J302" i="4"/>
  <c r="I302" i="4"/>
  <c r="H302" i="4"/>
  <c r="P301" i="4"/>
  <c r="O301" i="4"/>
  <c r="N301" i="4"/>
  <c r="M301" i="4"/>
  <c r="L301" i="4"/>
  <c r="K301" i="4"/>
  <c r="J301" i="4"/>
  <c r="I301" i="4"/>
  <c r="H301" i="4"/>
  <c r="P300" i="4"/>
  <c r="O300" i="4"/>
  <c r="N300" i="4"/>
  <c r="M300" i="4"/>
  <c r="L300" i="4"/>
  <c r="K300" i="4"/>
  <c r="J300" i="4"/>
  <c r="I300" i="4"/>
  <c r="H300" i="4"/>
  <c r="P299" i="4"/>
  <c r="O299" i="4"/>
  <c r="N299" i="4"/>
  <c r="M299" i="4"/>
  <c r="L299" i="4"/>
  <c r="K299" i="4"/>
  <c r="J299" i="4"/>
  <c r="I299" i="4"/>
  <c r="H299" i="4"/>
  <c r="P298" i="4"/>
  <c r="O298" i="4"/>
  <c r="N298" i="4"/>
  <c r="M298" i="4"/>
  <c r="L298" i="4"/>
  <c r="K298" i="4"/>
  <c r="J298" i="4"/>
  <c r="I298" i="4"/>
  <c r="H298" i="4"/>
  <c r="P297" i="4"/>
  <c r="O297" i="4"/>
  <c r="N297" i="4"/>
  <c r="M297" i="4"/>
  <c r="L297" i="4"/>
  <c r="K297" i="4"/>
  <c r="J297" i="4"/>
  <c r="I297" i="4"/>
  <c r="H297" i="4"/>
  <c r="P296" i="4"/>
  <c r="O296" i="4"/>
  <c r="N296" i="4"/>
  <c r="M296" i="4"/>
  <c r="L296" i="4"/>
  <c r="K296" i="4"/>
  <c r="J296" i="4"/>
  <c r="I296" i="4"/>
  <c r="H296" i="4"/>
  <c r="P295" i="4"/>
  <c r="O295" i="4"/>
  <c r="N295" i="4"/>
  <c r="M295" i="4"/>
  <c r="L295" i="4"/>
  <c r="K295" i="4"/>
  <c r="J295" i="4"/>
  <c r="I295" i="4"/>
  <c r="H295" i="4"/>
  <c r="P294" i="4"/>
  <c r="O294" i="4"/>
  <c r="N294" i="4"/>
  <c r="M294" i="4"/>
  <c r="L294" i="4"/>
  <c r="K294" i="4"/>
  <c r="J294" i="4"/>
  <c r="I294" i="4"/>
  <c r="H294" i="4"/>
  <c r="P293" i="4"/>
  <c r="O293" i="4"/>
  <c r="N293" i="4"/>
  <c r="M293" i="4"/>
  <c r="L293" i="4"/>
  <c r="K293" i="4"/>
  <c r="J293" i="4"/>
  <c r="I293" i="4"/>
  <c r="H293" i="4"/>
  <c r="P292" i="4"/>
  <c r="O292" i="4"/>
  <c r="N292" i="4"/>
  <c r="M292" i="4"/>
  <c r="L292" i="4"/>
  <c r="K292" i="4"/>
  <c r="J292" i="4"/>
  <c r="I292" i="4"/>
  <c r="H292" i="4"/>
  <c r="P291" i="4"/>
  <c r="O291" i="4"/>
  <c r="N291" i="4"/>
  <c r="M291" i="4"/>
  <c r="L291" i="4"/>
  <c r="K291" i="4"/>
  <c r="J291" i="4"/>
  <c r="I291" i="4"/>
  <c r="H291" i="4"/>
  <c r="P290" i="4"/>
  <c r="O290" i="4"/>
  <c r="N290" i="4"/>
  <c r="M290" i="4"/>
  <c r="L290" i="4"/>
  <c r="K290" i="4"/>
  <c r="J290" i="4"/>
  <c r="I290" i="4"/>
  <c r="H290" i="4"/>
  <c r="P289" i="4"/>
  <c r="O289" i="4"/>
  <c r="N289" i="4"/>
  <c r="M289" i="4"/>
  <c r="L289" i="4"/>
  <c r="K289" i="4"/>
  <c r="J289" i="4"/>
  <c r="I289" i="4"/>
  <c r="H289" i="4"/>
  <c r="P288" i="4"/>
  <c r="O288" i="4"/>
  <c r="N288" i="4"/>
  <c r="M288" i="4"/>
  <c r="L288" i="4"/>
  <c r="K288" i="4"/>
  <c r="J288" i="4"/>
  <c r="I288" i="4"/>
  <c r="H288" i="4"/>
  <c r="P287" i="4"/>
  <c r="O287" i="4"/>
  <c r="N287" i="4"/>
  <c r="M287" i="4"/>
  <c r="L287" i="4"/>
  <c r="K287" i="4"/>
  <c r="J287" i="4"/>
  <c r="I287" i="4"/>
  <c r="H287" i="4"/>
  <c r="P286" i="4"/>
  <c r="O286" i="4"/>
  <c r="N286" i="4"/>
  <c r="M286" i="4"/>
  <c r="L286" i="4"/>
  <c r="K286" i="4"/>
  <c r="J286" i="4"/>
  <c r="I286" i="4"/>
  <c r="H286" i="4"/>
  <c r="P285" i="4"/>
  <c r="O285" i="4"/>
  <c r="N285" i="4"/>
  <c r="M285" i="4"/>
  <c r="L285" i="4"/>
  <c r="K285" i="4"/>
  <c r="J285" i="4"/>
  <c r="I285" i="4"/>
  <c r="H285" i="4"/>
  <c r="P284" i="4"/>
  <c r="O284" i="4"/>
  <c r="N284" i="4"/>
  <c r="M284" i="4"/>
  <c r="L284" i="4"/>
  <c r="K284" i="4"/>
  <c r="J284" i="4"/>
  <c r="I284" i="4"/>
  <c r="H284" i="4"/>
  <c r="P283" i="4"/>
  <c r="O283" i="4"/>
  <c r="N283" i="4"/>
  <c r="M283" i="4"/>
  <c r="L283" i="4"/>
  <c r="K283" i="4"/>
  <c r="J283" i="4"/>
  <c r="I283" i="4"/>
  <c r="H283" i="4"/>
  <c r="P282" i="4"/>
  <c r="O282" i="4"/>
  <c r="N282" i="4"/>
  <c r="M282" i="4"/>
  <c r="L282" i="4"/>
  <c r="K282" i="4"/>
  <c r="J282" i="4"/>
  <c r="I282" i="4"/>
  <c r="H282" i="4"/>
  <c r="P281" i="4"/>
  <c r="O281" i="4"/>
  <c r="N281" i="4"/>
  <c r="M281" i="4"/>
  <c r="L281" i="4"/>
  <c r="K281" i="4"/>
  <c r="J281" i="4"/>
  <c r="I281" i="4"/>
  <c r="H281" i="4"/>
  <c r="P280" i="4"/>
  <c r="O280" i="4"/>
  <c r="N280" i="4"/>
  <c r="M280" i="4"/>
  <c r="L280" i="4"/>
  <c r="K280" i="4"/>
  <c r="J280" i="4"/>
  <c r="I280" i="4"/>
  <c r="H280" i="4"/>
  <c r="P279" i="4"/>
  <c r="O279" i="4"/>
  <c r="N279" i="4"/>
  <c r="M279" i="4"/>
  <c r="L279" i="4"/>
  <c r="K279" i="4"/>
  <c r="J279" i="4"/>
  <c r="I279" i="4"/>
  <c r="H279" i="4"/>
  <c r="P278" i="4"/>
  <c r="O278" i="4"/>
  <c r="N278" i="4"/>
  <c r="M278" i="4"/>
  <c r="L278" i="4"/>
  <c r="K278" i="4"/>
  <c r="J278" i="4"/>
  <c r="I278" i="4"/>
  <c r="H278" i="4"/>
  <c r="P277" i="4"/>
  <c r="O277" i="4"/>
  <c r="N277" i="4"/>
  <c r="M277" i="4"/>
  <c r="L277" i="4"/>
  <c r="K277" i="4"/>
  <c r="J277" i="4"/>
  <c r="I277" i="4"/>
  <c r="H277" i="4"/>
  <c r="P276" i="4"/>
  <c r="O276" i="4"/>
  <c r="N276" i="4"/>
  <c r="M276" i="4"/>
  <c r="L276" i="4"/>
  <c r="K276" i="4"/>
  <c r="J276" i="4"/>
  <c r="I276" i="4"/>
  <c r="H276" i="4"/>
  <c r="P275" i="4"/>
  <c r="O275" i="4"/>
  <c r="N275" i="4"/>
  <c r="M275" i="4"/>
  <c r="L275" i="4"/>
  <c r="K275" i="4"/>
  <c r="J275" i="4"/>
  <c r="I275" i="4"/>
  <c r="H275" i="4"/>
  <c r="P274" i="4"/>
  <c r="O274" i="4"/>
  <c r="N274" i="4"/>
  <c r="M274" i="4"/>
  <c r="L274" i="4"/>
  <c r="K274" i="4"/>
  <c r="J274" i="4"/>
  <c r="I274" i="4"/>
  <c r="H274" i="4"/>
  <c r="P273" i="4"/>
  <c r="O273" i="4"/>
  <c r="N273" i="4"/>
  <c r="M273" i="4"/>
  <c r="L273" i="4"/>
  <c r="K273" i="4"/>
  <c r="J273" i="4"/>
  <c r="I273" i="4"/>
  <c r="H273" i="4"/>
  <c r="P272" i="4"/>
  <c r="O272" i="4"/>
  <c r="N272" i="4"/>
  <c r="M272" i="4"/>
  <c r="L272" i="4"/>
  <c r="K272" i="4"/>
  <c r="J272" i="4"/>
  <c r="I272" i="4"/>
  <c r="H272" i="4"/>
  <c r="P271" i="4"/>
  <c r="O271" i="4"/>
  <c r="N271" i="4"/>
  <c r="M271" i="4"/>
  <c r="L271" i="4"/>
  <c r="K271" i="4"/>
  <c r="J271" i="4"/>
  <c r="I271" i="4"/>
  <c r="H271" i="4"/>
  <c r="P270" i="4"/>
  <c r="O270" i="4"/>
  <c r="N270" i="4"/>
  <c r="M270" i="4"/>
  <c r="L270" i="4"/>
  <c r="K270" i="4"/>
  <c r="J270" i="4"/>
  <c r="I270" i="4"/>
  <c r="H270" i="4"/>
  <c r="P269" i="4"/>
  <c r="O269" i="4"/>
  <c r="N269" i="4"/>
  <c r="M269" i="4"/>
  <c r="L269" i="4"/>
  <c r="K269" i="4"/>
  <c r="J269" i="4"/>
  <c r="I269" i="4"/>
  <c r="H269" i="4"/>
  <c r="P268" i="4"/>
  <c r="O268" i="4"/>
  <c r="N268" i="4"/>
  <c r="M268" i="4"/>
  <c r="L268" i="4"/>
  <c r="K268" i="4"/>
  <c r="J268" i="4"/>
  <c r="I268" i="4"/>
  <c r="H268" i="4"/>
  <c r="P267" i="4"/>
  <c r="O267" i="4"/>
  <c r="N267" i="4"/>
  <c r="M267" i="4"/>
  <c r="L267" i="4"/>
  <c r="K267" i="4"/>
  <c r="J267" i="4"/>
  <c r="I267" i="4"/>
  <c r="H267" i="4"/>
  <c r="P266" i="4"/>
  <c r="O266" i="4"/>
  <c r="N266" i="4"/>
  <c r="M266" i="4"/>
  <c r="L266" i="4"/>
  <c r="K266" i="4"/>
  <c r="J266" i="4"/>
  <c r="I266" i="4"/>
  <c r="H266" i="4"/>
  <c r="P265" i="4"/>
  <c r="O265" i="4"/>
  <c r="N265" i="4"/>
  <c r="M265" i="4"/>
  <c r="L265" i="4"/>
  <c r="K265" i="4"/>
  <c r="J265" i="4"/>
  <c r="I265" i="4"/>
  <c r="H265" i="4"/>
  <c r="P264" i="4"/>
  <c r="O264" i="4"/>
  <c r="N264" i="4"/>
  <c r="M264" i="4"/>
  <c r="L264" i="4"/>
  <c r="K264" i="4"/>
  <c r="J264" i="4"/>
  <c r="I264" i="4"/>
  <c r="H264" i="4"/>
  <c r="P263" i="4"/>
  <c r="O263" i="4"/>
  <c r="N263" i="4"/>
  <c r="M263" i="4"/>
  <c r="L263" i="4"/>
  <c r="K263" i="4"/>
  <c r="J263" i="4"/>
  <c r="I263" i="4"/>
  <c r="H263" i="4"/>
  <c r="P262" i="4"/>
  <c r="O262" i="4"/>
  <c r="N262" i="4"/>
  <c r="M262" i="4"/>
  <c r="L262" i="4"/>
  <c r="K262" i="4"/>
  <c r="J262" i="4"/>
  <c r="I262" i="4"/>
  <c r="H262" i="4"/>
  <c r="P261" i="4"/>
  <c r="O261" i="4"/>
  <c r="N261" i="4"/>
  <c r="M261" i="4"/>
  <c r="L261" i="4"/>
  <c r="K261" i="4"/>
  <c r="J261" i="4"/>
  <c r="I261" i="4"/>
  <c r="H261" i="4"/>
  <c r="P260" i="4"/>
  <c r="O260" i="4"/>
  <c r="N260" i="4"/>
  <c r="M260" i="4"/>
  <c r="L260" i="4"/>
  <c r="K260" i="4"/>
  <c r="J260" i="4"/>
  <c r="I260" i="4"/>
  <c r="H260" i="4"/>
  <c r="P259" i="4"/>
  <c r="O259" i="4"/>
  <c r="N259" i="4"/>
  <c r="M259" i="4"/>
  <c r="L259" i="4"/>
  <c r="K259" i="4"/>
  <c r="J259" i="4"/>
  <c r="I259" i="4"/>
  <c r="H259" i="4"/>
  <c r="P258" i="4"/>
  <c r="O258" i="4"/>
  <c r="N258" i="4"/>
  <c r="M258" i="4"/>
  <c r="L258" i="4"/>
  <c r="K258" i="4"/>
  <c r="J258" i="4"/>
  <c r="I258" i="4"/>
  <c r="H258" i="4"/>
  <c r="P257" i="4"/>
  <c r="O257" i="4"/>
  <c r="N257" i="4"/>
  <c r="M257" i="4"/>
  <c r="L257" i="4"/>
  <c r="K257" i="4"/>
  <c r="J257" i="4"/>
  <c r="I257" i="4"/>
  <c r="H257" i="4"/>
  <c r="P256" i="4"/>
  <c r="O256" i="4"/>
  <c r="N256" i="4"/>
  <c r="M256" i="4"/>
  <c r="L256" i="4"/>
  <c r="K256" i="4"/>
  <c r="J256" i="4"/>
  <c r="I256" i="4"/>
  <c r="H256" i="4"/>
  <c r="P255" i="4"/>
  <c r="O255" i="4"/>
  <c r="N255" i="4"/>
  <c r="M255" i="4"/>
  <c r="L255" i="4"/>
  <c r="K255" i="4"/>
  <c r="J255" i="4"/>
  <c r="I255" i="4"/>
  <c r="H255" i="4"/>
  <c r="P254" i="4"/>
  <c r="O254" i="4"/>
  <c r="N254" i="4"/>
  <c r="M254" i="4"/>
  <c r="L254" i="4"/>
  <c r="K254" i="4"/>
  <c r="J254" i="4"/>
  <c r="I254" i="4"/>
  <c r="H254" i="4"/>
  <c r="P253" i="4"/>
  <c r="O253" i="4"/>
  <c r="N253" i="4"/>
  <c r="M253" i="4"/>
  <c r="L253" i="4"/>
  <c r="K253" i="4"/>
  <c r="J253" i="4"/>
  <c r="I253" i="4"/>
  <c r="H253" i="4"/>
  <c r="P252" i="4"/>
  <c r="O252" i="4"/>
  <c r="N252" i="4"/>
  <c r="M252" i="4"/>
  <c r="L252" i="4"/>
  <c r="K252" i="4"/>
  <c r="J252" i="4"/>
  <c r="I252" i="4"/>
  <c r="H252" i="4"/>
  <c r="P251" i="4"/>
  <c r="O251" i="4"/>
  <c r="N251" i="4"/>
  <c r="M251" i="4"/>
  <c r="L251" i="4"/>
  <c r="K251" i="4"/>
  <c r="J251" i="4"/>
  <c r="I251" i="4"/>
  <c r="H251" i="4"/>
  <c r="P250" i="4"/>
  <c r="O250" i="4"/>
  <c r="N250" i="4"/>
  <c r="M250" i="4"/>
  <c r="L250" i="4"/>
  <c r="K250" i="4"/>
  <c r="J250" i="4"/>
  <c r="I250" i="4"/>
  <c r="H250" i="4"/>
  <c r="P249" i="4"/>
  <c r="O249" i="4"/>
  <c r="N249" i="4"/>
  <c r="M249" i="4"/>
  <c r="L249" i="4"/>
  <c r="K249" i="4"/>
  <c r="J249" i="4"/>
  <c r="I249" i="4"/>
  <c r="H249" i="4"/>
  <c r="P248" i="4"/>
  <c r="O248" i="4"/>
  <c r="N248" i="4"/>
  <c r="M248" i="4"/>
  <c r="L248" i="4"/>
  <c r="K248" i="4"/>
  <c r="J248" i="4"/>
  <c r="I248" i="4"/>
  <c r="H248" i="4"/>
  <c r="P247" i="4"/>
  <c r="O247" i="4"/>
  <c r="N247" i="4"/>
  <c r="M247" i="4"/>
  <c r="L247" i="4"/>
  <c r="K247" i="4"/>
  <c r="J247" i="4"/>
  <c r="I247" i="4"/>
  <c r="H247" i="4"/>
  <c r="P246" i="4"/>
  <c r="O246" i="4"/>
  <c r="N246" i="4"/>
  <c r="M246" i="4"/>
  <c r="L246" i="4"/>
  <c r="K246" i="4"/>
  <c r="J246" i="4"/>
  <c r="I246" i="4"/>
  <c r="H246" i="4"/>
  <c r="P245" i="4"/>
  <c r="O245" i="4"/>
  <c r="N245" i="4"/>
  <c r="M245" i="4"/>
  <c r="L245" i="4"/>
  <c r="K245" i="4"/>
  <c r="J245" i="4"/>
  <c r="I245" i="4"/>
  <c r="H245" i="4"/>
  <c r="P244" i="4"/>
  <c r="O244" i="4"/>
  <c r="N244" i="4"/>
  <c r="M244" i="4"/>
  <c r="L244" i="4"/>
  <c r="K244" i="4"/>
  <c r="J244" i="4"/>
  <c r="I244" i="4"/>
  <c r="H244" i="4"/>
  <c r="P243" i="4"/>
  <c r="O243" i="4"/>
  <c r="N243" i="4"/>
  <c r="M243" i="4"/>
  <c r="L243" i="4"/>
  <c r="K243" i="4"/>
  <c r="J243" i="4"/>
  <c r="I243" i="4"/>
  <c r="H243" i="4"/>
  <c r="P242" i="4"/>
  <c r="O242" i="4"/>
  <c r="N242" i="4"/>
  <c r="M242" i="4"/>
  <c r="L242" i="4"/>
  <c r="K242" i="4"/>
  <c r="J242" i="4"/>
  <c r="I242" i="4"/>
  <c r="H242" i="4"/>
  <c r="P241" i="4"/>
  <c r="O241" i="4"/>
  <c r="N241" i="4"/>
  <c r="M241" i="4"/>
  <c r="L241" i="4"/>
  <c r="K241" i="4"/>
  <c r="J241" i="4"/>
  <c r="I241" i="4"/>
  <c r="H241" i="4"/>
  <c r="P240" i="4"/>
  <c r="O240" i="4"/>
  <c r="N240" i="4"/>
  <c r="M240" i="4"/>
  <c r="L240" i="4"/>
  <c r="K240" i="4"/>
  <c r="J240" i="4"/>
  <c r="I240" i="4"/>
  <c r="H240" i="4"/>
  <c r="P239" i="4"/>
  <c r="O239" i="4"/>
  <c r="N239" i="4"/>
  <c r="M239" i="4"/>
  <c r="L239" i="4"/>
  <c r="K239" i="4"/>
  <c r="J239" i="4"/>
  <c r="I239" i="4"/>
  <c r="H239" i="4"/>
  <c r="P238" i="4"/>
  <c r="O238" i="4"/>
  <c r="N238" i="4"/>
  <c r="M238" i="4"/>
  <c r="L238" i="4"/>
  <c r="K238" i="4"/>
  <c r="J238" i="4"/>
  <c r="I238" i="4"/>
  <c r="H238" i="4"/>
  <c r="P237" i="4"/>
  <c r="O237" i="4"/>
  <c r="N237" i="4"/>
  <c r="M237" i="4"/>
  <c r="L237" i="4"/>
  <c r="K237" i="4"/>
  <c r="J237" i="4"/>
  <c r="I237" i="4"/>
  <c r="H237" i="4"/>
  <c r="P236" i="4"/>
  <c r="O236" i="4"/>
  <c r="N236" i="4"/>
  <c r="M236" i="4"/>
  <c r="L236" i="4"/>
  <c r="K236" i="4"/>
  <c r="J236" i="4"/>
  <c r="I236" i="4"/>
  <c r="H236" i="4"/>
  <c r="P235" i="4"/>
  <c r="O235" i="4"/>
  <c r="N235" i="4"/>
  <c r="M235" i="4"/>
  <c r="L235" i="4"/>
  <c r="K235" i="4"/>
  <c r="J235" i="4"/>
  <c r="I235" i="4"/>
  <c r="H235" i="4"/>
  <c r="P234" i="4"/>
  <c r="O234" i="4"/>
  <c r="N234" i="4"/>
  <c r="M234" i="4"/>
  <c r="L234" i="4"/>
  <c r="K234" i="4"/>
  <c r="J234" i="4"/>
  <c r="I234" i="4"/>
  <c r="H234" i="4"/>
  <c r="P233" i="4"/>
  <c r="O233" i="4"/>
  <c r="N233" i="4"/>
  <c r="M233" i="4"/>
  <c r="L233" i="4"/>
  <c r="K233" i="4"/>
  <c r="J233" i="4"/>
  <c r="I233" i="4"/>
  <c r="H233" i="4"/>
  <c r="P232" i="4"/>
  <c r="O232" i="4"/>
  <c r="N232" i="4"/>
  <c r="M232" i="4"/>
  <c r="L232" i="4"/>
  <c r="K232" i="4"/>
  <c r="J232" i="4"/>
  <c r="I232" i="4"/>
  <c r="H232" i="4"/>
  <c r="P231" i="4"/>
  <c r="O231" i="4"/>
  <c r="N231" i="4"/>
  <c r="M231" i="4"/>
  <c r="L231" i="4"/>
  <c r="K231" i="4"/>
  <c r="J231" i="4"/>
  <c r="I231" i="4"/>
  <c r="H231" i="4"/>
  <c r="P230" i="4"/>
  <c r="O230" i="4"/>
  <c r="N230" i="4"/>
  <c r="M230" i="4"/>
  <c r="L230" i="4"/>
  <c r="K230" i="4"/>
  <c r="J230" i="4"/>
  <c r="I230" i="4"/>
  <c r="H230" i="4"/>
  <c r="P229" i="4"/>
  <c r="O229" i="4"/>
  <c r="N229" i="4"/>
  <c r="M229" i="4"/>
  <c r="L229" i="4"/>
  <c r="K229" i="4"/>
  <c r="J229" i="4"/>
  <c r="I229" i="4"/>
  <c r="H229" i="4"/>
  <c r="P228" i="4"/>
  <c r="O228" i="4"/>
  <c r="N228" i="4"/>
  <c r="M228" i="4"/>
  <c r="L228" i="4"/>
  <c r="K228" i="4"/>
  <c r="J228" i="4"/>
  <c r="I228" i="4"/>
  <c r="H228" i="4"/>
  <c r="P227" i="4"/>
  <c r="O227" i="4"/>
  <c r="N227" i="4"/>
  <c r="M227" i="4"/>
  <c r="L227" i="4"/>
  <c r="K227" i="4"/>
  <c r="J227" i="4"/>
  <c r="I227" i="4"/>
  <c r="H227" i="4"/>
  <c r="P226" i="4"/>
  <c r="O226" i="4"/>
  <c r="N226" i="4"/>
  <c r="M226" i="4"/>
  <c r="L226" i="4"/>
  <c r="K226" i="4"/>
  <c r="J226" i="4"/>
  <c r="I226" i="4"/>
  <c r="H226" i="4"/>
  <c r="P225" i="4"/>
  <c r="O225" i="4"/>
  <c r="N225" i="4"/>
  <c r="M225" i="4"/>
  <c r="L225" i="4"/>
  <c r="K225" i="4"/>
  <c r="J225" i="4"/>
  <c r="I225" i="4"/>
  <c r="H225" i="4"/>
  <c r="P224" i="4"/>
  <c r="O224" i="4"/>
  <c r="N224" i="4"/>
  <c r="M224" i="4"/>
  <c r="L224" i="4"/>
  <c r="K224" i="4"/>
  <c r="J224" i="4"/>
  <c r="I224" i="4"/>
  <c r="H224" i="4"/>
  <c r="P223" i="4"/>
  <c r="O223" i="4"/>
  <c r="N223" i="4"/>
  <c r="M223" i="4"/>
  <c r="L223" i="4"/>
  <c r="K223" i="4"/>
  <c r="J223" i="4"/>
  <c r="I223" i="4"/>
  <c r="H223" i="4"/>
  <c r="P222" i="4"/>
  <c r="O222" i="4"/>
  <c r="N222" i="4"/>
  <c r="M222" i="4"/>
  <c r="L222" i="4"/>
  <c r="K222" i="4"/>
  <c r="J222" i="4"/>
  <c r="I222" i="4"/>
  <c r="H222" i="4"/>
  <c r="P221" i="4"/>
  <c r="O221" i="4"/>
  <c r="N221" i="4"/>
  <c r="M221" i="4"/>
  <c r="L221" i="4"/>
  <c r="K221" i="4"/>
  <c r="J221" i="4"/>
  <c r="I221" i="4"/>
  <c r="H221" i="4"/>
  <c r="P220" i="4"/>
  <c r="O220" i="4"/>
  <c r="N220" i="4"/>
  <c r="M220" i="4"/>
  <c r="L220" i="4"/>
  <c r="K220" i="4"/>
  <c r="J220" i="4"/>
  <c r="I220" i="4"/>
  <c r="H220" i="4"/>
  <c r="P219" i="4"/>
  <c r="O219" i="4"/>
  <c r="N219" i="4"/>
  <c r="M219" i="4"/>
  <c r="L219" i="4"/>
  <c r="K219" i="4"/>
  <c r="J219" i="4"/>
  <c r="I219" i="4"/>
  <c r="H219" i="4"/>
  <c r="P218" i="4"/>
  <c r="O218" i="4"/>
  <c r="N218" i="4"/>
  <c r="M218" i="4"/>
  <c r="L218" i="4"/>
  <c r="K218" i="4"/>
  <c r="J218" i="4"/>
  <c r="I218" i="4"/>
  <c r="H218" i="4"/>
  <c r="P217" i="4"/>
  <c r="O217" i="4"/>
  <c r="N217" i="4"/>
  <c r="M217" i="4"/>
  <c r="L217" i="4"/>
  <c r="K217" i="4"/>
  <c r="J217" i="4"/>
  <c r="I217" i="4"/>
  <c r="H217" i="4"/>
  <c r="P216" i="4"/>
  <c r="O216" i="4"/>
  <c r="N216" i="4"/>
  <c r="M216" i="4"/>
  <c r="L216" i="4"/>
  <c r="K216" i="4"/>
  <c r="J216" i="4"/>
  <c r="I216" i="4"/>
  <c r="H216" i="4"/>
  <c r="P215" i="4"/>
  <c r="O215" i="4"/>
  <c r="N215" i="4"/>
  <c r="M215" i="4"/>
  <c r="L215" i="4"/>
  <c r="K215" i="4"/>
  <c r="J215" i="4"/>
  <c r="I215" i="4"/>
  <c r="H215" i="4"/>
  <c r="P214" i="4"/>
  <c r="O214" i="4"/>
  <c r="N214" i="4"/>
  <c r="M214" i="4"/>
  <c r="L214" i="4"/>
  <c r="K214" i="4"/>
  <c r="J214" i="4"/>
  <c r="I214" i="4"/>
  <c r="H214" i="4"/>
  <c r="P213" i="4"/>
  <c r="O213" i="4"/>
  <c r="N213" i="4"/>
  <c r="M213" i="4"/>
  <c r="L213" i="4"/>
  <c r="K213" i="4"/>
  <c r="J213" i="4"/>
  <c r="I213" i="4"/>
  <c r="H213" i="4"/>
  <c r="P212" i="4"/>
  <c r="O212" i="4"/>
  <c r="N212" i="4"/>
  <c r="M212" i="4"/>
  <c r="L212" i="4"/>
  <c r="K212" i="4"/>
  <c r="J212" i="4"/>
  <c r="I212" i="4"/>
  <c r="H212" i="4"/>
  <c r="P211" i="4"/>
  <c r="O211" i="4"/>
  <c r="N211" i="4"/>
  <c r="M211" i="4"/>
  <c r="L211" i="4"/>
  <c r="K211" i="4"/>
  <c r="J211" i="4"/>
  <c r="I211" i="4"/>
  <c r="H211" i="4"/>
  <c r="P210" i="4"/>
  <c r="O210" i="4"/>
  <c r="N210" i="4"/>
  <c r="M210" i="4"/>
  <c r="L210" i="4"/>
  <c r="K210" i="4"/>
  <c r="J210" i="4"/>
  <c r="I210" i="4"/>
  <c r="H210" i="4"/>
  <c r="P209" i="4"/>
  <c r="O209" i="4"/>
  <c r="N209" i="4"/>
  <c r="M209" i="4"/>
  <c r="L209" i="4"/>
  <c r="K209" i="4"/>
  <c r="J209" i="4"/>
  <c r="I209" i="4"/>
  <c r="H209" i="4"/>
  <c r="P208" i="4"/>
  <c r="O208" i="4"/>
  <c r="N208" i="4"/>
  <c r="M208" i="4"/>
  <c r="L208" i="4"/>
  <c r="K208" i="4"/>
  <c r="J208" i="4"/>
  <c r="I208" i="4"/>
  <c r="H208" i="4"/>
  <c r="P207" i="4"/>
  <c r="O207" i="4"/>
  <c r="N207" i="4"/>
  <c r="M207" i="4"/>
  <c r="L207" i="4"/>
  <c r="K207" i="4"/>
  <c r="J207" i="4"/>
  <c r="I207" i="4"/>
  <c r="H207" i="4"/>
  <c r="P206" i="4"/>
  <c r="O206" i="4"/>
  <c r="N206" i="4"/>
  <c r="M206" i="4"/>
  <c r="L206" i="4"/>
  <c r="K206" i="4"/>
  <c r="J206" i="4"/>
  <c r="I206" i="4"/>
  <c r="H206" i="4"/>
  <c r="P205" i="4"/>
  <c r="O205" i="4"/>
  <c r="N205" i="4"/>
  <c r="M205" i="4"/>
  <c r="L205" i="4"/>
  <c r="K205" i="4"/>
  <c r="J205" i="4"/>
  <c r="I205" i="4"/>
  <c r="H205" i="4"/>
  <c r="P204" i="4"/>
  <c r="O204" i="4"/>
  <c r="N204" i="4"/>
  <c r="M204" i="4"/>
  <c r="L204" i="4"/>
  <c r="K204" i="4"/>
  <c r="J204" i="4"/>
  <c r="I204" i="4"/>
  <c r="H204" i="4"/>
  <c r="P203" i="4"/>
  <c r="O203" i="4"/>
  <c r="N203" i="4"/>
  <c r="M203" i="4"/>
  <c r="L203" i="4"/>
  <c r="K203" i="4"/>
  <c r="J203" i="4"/>
  <c r="I203" i="4"/>
  <c r="H203" i="4"/>
  <c r="P202" i="4"/>
  <c r="O202" i="4"/>
  <c r="N202" i="4"/>
  <c r="M202" i="4"/>
  <c r="L202" i="4"/>
  <c r="K202" i="4"/>
  <c r="J202" i="4"/>
  <c r="I202" i="4"/>
  <c r="H202" i="4"/>
  <c r="P201" i="4"/>
  <c r="O201" i="4"/>
  <c r="N201" i="4"/>
  <c r="M201" i="4"/>
  <c r="L201" i="4"/>
  <c r="K201" i="4"/>
  <c r="J201" i="4"/>
  <c r="I201" i="4"/>
  <c r="H201" i="4"/>
  <c r="P200" i="4"/>
  <c r="O200" i="4"/>
  <c r="N200" i="4"/>
  <c r="M200" i="4"/>
  <c r="L200" i="4"/>
  <c r="K200" i="4"/>
  <c r="J200" i="4"/>
  <c r="I200" i="4"/>
  <c r="H200" i="4"/>
  <c r="P199" i="4"/>
  <c r="O199" i="4"/>
  <c r="N199" i="4"/>
  <c r="M199" i="4"/>
  <c r="L199" i="4"/>
  <c r="K199" i="4"/>
  <c r="J199" i="4"/>
  <c r="I199" i="4"/>
  <c r="H199" i="4"/>
  <c r="P198" i="4"/>
  <c r="O198" i="4"/>
  <c r="N198" i="4"/>
  <c r="M198" i="4"/>
  <c r="L198" i="4"/>
  <c r="K198" i="4"/>
  <c r="J198" i="4"/>
  <c r="I198" i="4"/>
  <c r="H198" i="4"/>
  <c r="P197" i="4"/>
  <c r="O197" i="4"/>
  <c r="N197" i="4"/>
  <c r="M197" i="4"/>
  <c r="L197" i="4"/>
  <c r="K197" i="4"/>
  <c r="J197" i="4"/>
  <c r="I197" i="4"/>
  <c r="H197" i="4"/>
  <c r="P196" i="4"/>
  <c r="O196" i="4"/>
  <c r="N196" i="4"/>
  <c r="M196" i="4"/>
  <c r="L196" i="4"/>
  <c r="K196" i="4"/>
  <c r="J196" i="4"/>
  <c r="I196" i="4"/>
  <c r="H196" i="4"/>
  <c r="P195" i="4"/>
  <c r="O195" i="4"/>
  <c r="N195" i="4"/>
  <c r="M195" i="4"/>
  <c r="L195" i="4"/>
  <c r="K195" i="4"/>
  <c r="J195" i="4"/>
  <c r="I195" i="4"/>
  <c r="H195" i="4"/>
  <c r="P194" i="4"/>
  <c r="O194" i="4"/>
  <c r="N194" i="4"/>
  <c r="M194" i="4"/>
  <c r="L194" i="4"/>
  <c r="K194" i="4"/>
  <c r="J194" i="4"/>
  <c r="I194" i="4"/>
  <c r="H194" i="4"/>
  <c r="P193" i="4"/>
  <c r="O193" i="4"/>
  <c r="N193" i="4"/>
  <c r="M193" i="4"/>
  <c r="L193" i="4"/>
  <c r="K193" i="4"/>
  <c r="J193" i="4"/>
  <c r="I193" i="4"/>
  <c r="H193" i="4"/>
  <c r="P192" i="4"/>
  <c r="O192" i="4"/>
  <c r="N192" i="4"/>
  <c r="M192" i="4"/>
  <c r="L192" i="4"/>
  <c r="K192" i="4"/>
  <c r="J192" i="4"/>
  <c r="I192" i="4"/>
  <c r="H192" i="4"/>
  <c r="P191" i="4"/>
  <c r="O191" i="4"/>
  <c r="N191" i="4"/>
  <c r="M191" i="4"/>
  <c r="L191" i="4"/>
  <c r="K191" i="4"/>
  <c r="J191" i="4"/>
  <c r="I191" i="4"/>
  <c r="H191" i="4"/>
  <c r="P190" i="4"/>
  <c r="O190" i="4"/>
  <c r="N190" i="4"/>
  <c r="M190" i="4"/>
  <c r="L190" i="4"/>
  <c r="K190" i="4"/>
  <c r="J190" i="4"/>
  <c r="I190" i="4"/>
  <c r="H190" i="4"/>
  <c r="P189" i="4"/>
  <c r="O189" i="4"/>
  <c r="N189" i="4"/>
  <c r="M189" i="4"/>
  <c r="L189" i="4"/>
  <c r="K189" i="4"/>
  <c r="J189" i="4"/>
  <c r="I189" i="4"/>
  <c r="H189" i="4"/>
  <c r="P188" i="4"/>
  <c r="O188" i="4"/>
  <c r="N188" i="4"/>
  <c r="M188" i="4"/>
  <c r="L188" i="4"/>
  <c r="K188" i="4"/>
  <c r="J188" i="4"/>
  <c r="I188" i="4"/>
  <c r="H188" i="4"/>
  <c r="P187" i="4"/>
  <c r="O187" i="4"/>
  <c r="N187" i="4"/>
  <c r="M187" i="4"/>
  <c r="L187" i="4"/>
  <c r="K187" i="4"/>
  <c r="J187" i="4"/>
  <c r="I187" i="4"/>
  <c r="H187" i="4"/>
  <c r="P186" i="4"/>
  <c r="O186" i="4"/>
  <c r="N186" i="4"/>
  <c r="M186" i="4"/>
  <c r="L186" i="4"/>
  <c r="K186" i="4"/>
  <c r="J186" i="4"/>
  <c r="I186" i="4"/>
  <c r="H186" i="4"/>
  <c r="P185" i="4"/>
  <c r="O185" i="4"/>
  <c r="N185" i="4"/>
  <c r="M185" i="4"/>
  <c r="L185" i="4"/>
  <c r="K185" i="4"/>
  <c r="J185" i="4"/>
  <c r="I185" i="4"/>
  <c r="H185" i="4"/>
  <c r="P184" i="4"/>
  <c r="O184" i="4"/>
  <c r="N184" i="4"/>
  <c r="M184" i="4"/>
  <c r="L184" i="4"/>
  <c r="K184" i="4"/>
  <c r="J184" i="4"/>
  <c r="I184" i="4"/>
  <c r="H184" i="4"/>
  <c r="P183" i="4"/>
  <c r="O183" i="4"/>
  <c r="N183" i="4"/>
  <c r="M183" i="4"/>
  <c r="L183" i="4"/>
  <c r="K183" i="4"/>
  <c r="J183" i="4"/>
  <c r="I183" i="4"/>
  <c r="H183" i="4"/>
  <c r="P182" i="4"/>
  <c r="O182" i="4"/>
  <c r="N182" i="4"/>
  <c r="M182" i="4"/>
  <c r="L182" i="4"/>
  <c r="K182" i="4"/>
  <c r="J182" i="4"/>
  <c r="I182" i="4"/>
  <c r="H182" i="4"/>
  <c r="P181" i="4"/>
  <c r="O181" i="4"/>
  <c r="N181" i="4"/>
  <c r="M181" i="4"/>
  <c r="L181" i="4"/>
  <c r="K181" i="4"/>
  <c r="J181" i="4"/>
  <c r="I181" i="4"/>
  <c r="H181" i="4"/>
  <c r="P180" i="4"/>
  <c r="O180" i="4"/>
  <c r="N180" i="4"/>
  <c r="M180" i="4"/>
  <c r="L180" i="4"/>
  <c r="K180" i="4"/>
  <c r="J180" i="4"/>
  <c r="I180" i="4"/>
  <c r="H180" i="4"/>
  <c r="P179" i="4"/>
  <c r="O179" i="4"/>
  <c r="N179" i="4"/>
  <c r="M179" i="4"/>
  <c r="L179" i="4"/>
  <c r="K179" i="4"/>
  <c r="J179" i="4"/>
  <c r="I179" i="4"/>
  <c r="H179" i="4"/>
  <c r="P178" i="4"/>
  <c r="O178" i="4"/>
  <c r="N178" i="4"/>
  <c r="M178" i="4"/>
  <c r="L178" i="4"/>
  <c r="K178" i="4"/>
  <c r="J178" i="4"/>
  <c r="I178" i="4"/>
  <c r="H178" i="4"/>
  <c r="P177" i="4"/>
  <c r="O177" i="4"/>
  <c r="N177" i="4"/>
  <c r="M177" i="4"/>
  <c r="L177" i="4"/>
  <c r="K177" i="4"/>
  <c r="J177" i="4"/>
  <c r="I177" i="4"/>
  <c r="H177" i="4"/>
  <c r="P176" i="4"/>
  <c r="O176" i="4"/>
  <c r="N176" i="4"/>
  <c r="M176" i="4"/>
  <c r="L176" i="4"/>
  <c r="K176" i="4"/>
  <c r="J176" i="4"/>
  <c r="I176" i="4"/>
  <c r="H176" i="4"/>
  <c r="P175" i="4"/>
  <c r="O175" i="4"/>
  <c r="N175" i="4"/>
  <c r="M175" i="4"/>
  <c r="L175" i="4"/>
  <c r="K175" i="4"/>
  <c r="J175" i="4"/>
  <c r="I175" i="4"/>
  <c r="H175" i="4"/>
  <c r="P174" i="4"/>
  <c r="O174" i="4"/>
  <c r="N174" i="4"/>
  <c r="M174" i="4"/>
  <c r="L174" i="4"/>
  <c r="K174" i="4"/>
  <c r="J174" i="4"/>
  <c r="I174" i="4"/>
  <c r="H174" i="4"/>
  <c r="P173" i="4"/>
  <c r="O173" i="4"/>
  <c r="N173" i="4"/>
  <c r="M173" i="4"/>
  <c r="L173" i="4"/>
  <c r="K173" i="4"/>
  <c r="J173" i="4"/>
  <c r="I173" i="4"/>
  <c r="H173" i="4"/>
  <c r="P172" i="4"/>
  <c r="O172" i="4"/>
  <c r="N172" i="4"/>
  <c r="M172" i="4"/>
  <c r="L172" i="4"/>
  <c r="K172" i="4"/>
  <c r="J172" i="4"/>
  <c r="I172" i="4"/>
  <c r="H172" i="4"/>
  <c r="P171" i="4"/>
  <c r="O171" i="4"/>
  <c r="N171" i="4"/>
  <c r="M171" i="4"/>
  <c r="L171" i="4"/>
  <c r="K171" i="4"/>
  <c r="J171" i="4"/>
  <c r="I171" i="4"/>
  <c r="H171" i="4"/>
  <c r="P170" i="4"/>
  <c r="O170" i="4"/>
  <c r="N170" i="4"/>
  <c r="M170" i="4"/>
  <c r="L170" i="4"/>
  <c r="K170" i="4"/>
  <c r="J170" i="4"/>
  <c r="I170" i="4"/>
  <c r="H170" i="4"/>
  <c r="P169" i="4"/>
  <c r="O169" i="4"/>
  <c r="N169" i="4"/>
  <c r="M169" i="4"/>
  <c r="L169" i="4"/>
  <c r="K169" i="4"/>
  <c r="J169" i="4"/>
  <c r="I169" i="4"/>
  <c r="H169" i="4"/>
  <c r="P168" i="4"/>
  <c r="O168" i="4"/>
  <c r="N168" i="4"/>
  <c r="M168" i="4"/>
  <c r="L168" i="4"/>
  <c r="K168" i="4"/>
  <c r="J168" i="4"/>
  <c r="I168" i="4"/>
  <c r="H168" i="4"/>
  <c r="P167" i="4"/>
  <c r="O167" i="4"/>
  <c r="N167" i="4"/>
  <c r="M167" i="4"/>
  <c r="L167" i="4"/>
  <c r="K167" i="4"/>
  <c r="J167" i="4"/>
  <c r="I167" i="4"/>
  <c r="H167" i="4"/>
  <c r="P166" i="4"/>
  <c r="O166" i="4"/>
  <c r="N166" i="4"/>
  <c r="M166" i="4"/>
  <c r="L166" i="4"/>
  <c r="K166" i="4"/>
  <c r="J166" i="4"/>
  <c r="I166" i="4"/>
  <c r="H166" i="4"/>
  <c r="P165" i="4"/>
  <c r="O165" i="4"/>
  <c r="N165" i="4"/>
  <c r="M165" i="4"/>
  <c r="L165" i="4"/>
  <c r="K165" i="4"/>
  <c r="J165" i="4"/>
  <c r="I165" i="4"/>
  <c r="H165" i="4"/>
  <c r="P164" i="4"/>
  <c r="O164" i="4"/>
  <c r="N164" i="4"/>
  <c r="M164" i="4"/>
  <c r="L164" i="4"/>
  <c r="K164" i="4"/>
  <c r="J164" i="4"/>
  <c r="I164" i="4"/>
  <c r="H164" i="4"/>
  <c r="P163" i="4"/>
  <c r="O163" i="4"/>
  <c r="N163" i="4"/>
  <c r="M163" i="4"/>
  <c r="L163" i="4"/>
  <c r="K163" i="4"/>
  <c r="J163" i="4"/>
  <c r="I163" i="4"/>
  <c r="H163" i="4"/>
  <c r="P162" i="4"/>
  <c r="O162" i="4"/>
  <c r="N162" i="4"/>
  <c r="M162" i="4"/>
  <c r="L162" i="4"/>
  <c r="K162" i="4"/>
  <c r="J162" i="4"/>
  <c r="I162" i="4"/>
  <c r="H162" i="4"/>
  <c r="P161" i="4"/>
  <c r="O161" i="4"/>
  <c r="N161" i="4"/>
  <c r="M161" i="4"/>
  <c r="L161" i="4"/>
  <c r="K161" i="4"/>
  <c r="J161" i="4"/>
  <c r="I161" i="4"/>
  <c r="H161" i="4"/>
  <c r="P160" i="4"/>
  <c r="O160" i="4"/>
  <c r="N160" i="4"/>
  <c r="M160" i="4"/>
  <c r="L160" i="4"/>
  <c r="K160" i="4"/>
  <c r="J160" i="4"/>
  <c r="I160" i="4"/>
  <c r="H160" i="4"/>
  <c r="P159" i="4"/>
  <c r="O159" i="4"/>
  <c r="N159" i="4"/>
  <c r="M159" i="4"/>
  <c r="L159" i="4"/>
  <c r="K159" i="4"/>
  <c r="J159" i="4"/>
  <c r="I159" i="4"/>
  <c r="H159" i="4"/>
  <c r="P158" i="4"/>
  <c r="O158" i="4"/>
  <c r="N158" i="4"/>
  <c r="M158" i="4"/>
  <c r="L158" i="4"/>
  <c r="K158" i="4"/>
  <c r="J158" i="4"/>
  <c r="I158" i="4"/>
  <c r="H158" i="4"/>
  <c r="P157" i="4"/>
  <c r="O157" i="4"/>
  <c r="N157" i="4"/>
  <c r="M157" i="4"/>
  <c r="L157" i="4"/>
  <c r="K157" i="4"/>
  <c r="J157" i="4"/>
  <c r="I157" i="4"/>
  <c r="H157" i="4"/>
  <c r="P156" i="4"/>
  <c r="O156" i="4"/>
  <c r="N156" i="4"/>
  <c r="M156" i="4"/>
  <c r="L156" i="4"/>
  <c r="K156" i="4"/>
  <c r="J156" i="4"/>
  <c r="I156" i="4"/>
  <c r="H156" i="4"/>
  <c r="P155" i="4"/>
  <c r="O155" i="4"/>
  <c r="N155" i="4"/>
  <c r="M155" i="4"/>
  <c r="L155" i="4"/>
  <c r="K155" i="4"/>
  <c r="J155" i="4"/>
  <c r="I155" i="4"/>
  <c r="H155" i="4"/>
  <c r="P154" i="4"/>
  <c r="O154" i="4"/>
  <c r="N154" i="4"/>
  <c r="M154" i="4"/>
  <c r="L154" i="4"/>
  <c r="K154" i="4"/>
  <c r="J154" i="4"/>
  <c r="I154" i="4"/>
  <c r="H154" i="4"/>
  <c r="P153" i="4"/>
  <c r="O153" i="4"/>
  <c r="N153" i="4"/>
  <c r="M153" i="4"/>
  <c r="L153" i="4"/>
  <c r="K153" i="4"/>
  <c r="J153" i="4"/>
  <c r="I153" i="4"/>
  <c r="H153" i="4"/>
  <c r="P152" i="4"/>
  <c r="O152" i="4"/>
  <c r="N152" i="4"/>
  <c r="M152" i="4"/>
  <c r="L152" i="4"/>
  <c r="K152" i="4"/>
  <c r="J152" i="4"/>
  <c r="I152" i="4"/>
  <c r="H152" i="4"/>
  <c r="P151" i="4"/>
  <c r="O151" i="4"/>
  <c r="N151" i="4"/>
  <c r="M151" i="4"/>
  <c r="L151" i="4"/>
  <c r="K151" i="4"/>
  <c r="J151" i="4"/>
  <c r="I151" i="4"/>
  <c r="H151" i="4"/>
  <c r="P150" i="4"/>
  <c r="O150" i="4"/>
  <c r="N150" i="4"/>
  <c r="M150" i="4"/>
  <c r="L150" i="4"/>
  <c r="K150" i="4"/>
  <c r="J150" i="4"/>
  <c r="I150" i="4"/>
  <c r="H150" i="4"/>
  <c r="P149" i="4"/>
  <c r="O149" i="4"/>
  <c r="N149" i="4"/>
  <c r="M149" i="4"/>
  <c r="L149" i="4"/>
  <c r="K149" i="4"/>
  <c r="J149" i="4"/>
  <c r="I149" i="4"/>
  <c r="H149" i="4"/>
  <c r="P148" i="4"/>
  <c r="O148" i="4"/>
  <c r="N148" i="4"/>
  <c r="M148" i="4"/>
  <c r="L148" i="4"/>
  <c r="K148" i="4"/>
  <c r="J148" i="4"/>
  <c r="I148" i="4"/>
  <c r="H148" i="4"/>
  <c r="P147" i="4"/>
  <c r="O147" i="4"/>
  <c r="N147" i="4"/>
  <c r="M147" i="4"/>
  <c r="L147" i="4"/>
  <c r="K147" i="4"/>
  <c r="J147" i="4"/>
  <c r="I147" i="4"/>
  <c r="H147" i="4"/>
  <c r="P146" i="4"/>
  <c r="O146" i="4"/>
  <c r="N146" i="4"/>
  <c r="M146" i="4"/>
  <c r="L146" i="4"/>
  <c r="K146" i="4"/>
  <c r="J146" i="4"/>
  <c r="I146" i="4"/>
  <c r="H146" i="4"/>
  <c r="P145" i="4"/>
  <c r="O145" i="4"/>
  <c r="N145" i="4"/>
  <c r="M145" i="4"/>
  <c r="L145" i="4"/>
  <c r="K145" i="4"/>
  <c r="J145" i="4"/>
  <c r="I145" i="4"/>
  <c r="H145" i="4"/>
  <c r="P144" i="4"/>
  <c r="O144" i="4"/>
  <c r="N144" i="4"/>
  <c r="M144" i="4"/>
  <c r="L144" i="4"/>
  <c r="K144" i="4"/>
  <c r="J144" i="4"/>
  <c r="I144" i="4"/>
  <c r="H144" i="4"/>
  <c r="P143" i="4"/>
  <c r="O143" i="4"/>
  <c r="N143" i="4"/>
  <c r="M143" i="4"/>
  <c r="L143" i="4"/>
  <c r="K143" i="4"/>
  <c r="J143" i="4"/>
  <c r="I143" i="4"/>
  <c r="H143" i="4"/>
  <c r="P142" i="4"/>
  <c r="O142" i="4"/>
  <c r="N142" i="4"/>
  <c r="M142" i="4"/>
  <c r="L142" i="4"/>
  <c r="K142" i="4"/>
  <c r="J142" i="4"/>
  <c r="I142" i="4"/>
  <c r="H142" i="4"/>
  <c r="P141" i="4"/>
  <c r="O141" i="4"/>
  <c r="N141" i="4"/>
  <c r="M141" i="4"/>
  <c r="L141" i="4"/>
  <c r="K141" i="4"/>
  <c r="J141" i="4"/>
  <c r="I141" i="4"/>
  <c r="H141" i="4"/>
  <c r="P140" i="4"/>
  <c r="O140" i="4"/>
  <c r="N140" i="4"/>
  <c r="M140" i="4"/>
  <c r="L140" i="4"/>
  <c r="K140" i="4"/>
  <c r="J140" i="4"/>
  <c r="I140" i="4"/>
  <c r="H140" i="4"/>
  <c r="P139" i="4"/>
  <c r="O139" i="4"/>
  <c r="N139" i="4"/>
  <c r="M139" i="4"/>
  <c r="L139" i="4"/>
  <c r="K139" i="4"/>
  <c r="J139" i="4"/>
  <c r="I139" i="4"/>
  <c r="H139" i="4"/>
  <c r="P138" i="4"/>
  <c r="O138" i="4"/>
  <c r="N138" i="4"/>
  <c r="M138" i="4"/>
  <c r="L138" i="4"/>
  <c r="K138" i="4"/>
  <c r="J138" i="4"/>
  <c r="I138" i="4"/>
  <c r="H138" i="4"/>
  <c r="P137" i="4"/>
  <c r="O137" i="4"/>
  <c r="N137" i="4"/>
  <c r="M137" i="4"/>
  <c r="L137" i="4"/>
  <c r="K137" i="4"/>
  <c r="J137" i="4"/>
  <c r="I137" i="4"/>
  <c r="H137" i="4"/>
  <c r="P136" i="4"/>
  <c r="O136" i="4"/>
  <c r="N136" i="4"/>
  <c r="M136" i="4"/>
  <c r="L136" i="4"/>
  <c r="K136" i="4"/>
  <c r="J136" i="4"/>
  <c r="I136" i="4"/>
  <c r="H136" i="4"/>
  <c r="P135" i="4"/>
  <c r="O135" i="4"/>
  <c r="N135" i="4"/>
  <c r="M135" i="4"/>
  <c r="L135" i="4"/>
  <c r="K135" i="4"/>
  <c r="J135" i="4"/>
  <c r="I135" i="4"/>
  <c r="H135" i="4"/>
  <c r="P134" i="4"/>
  <c r="O134" i="4"/>
  <c r="N134" i="4"/>
  <c r="M134" i="4"/>
  <c r="L134" i="4"/>
  <c r="K134" i="4"/>
  <c r="J134" i="4"/>
  <c r="I134" i="4"/>
  <c r="H134" i="4"/>
  <c r="P133" i="4"/>
  <c r="O133" i="4"/>
  <c r="N133" i="4"/>
  <c r="M133" i="4"/>
  <c r="L133" i="4"/>
  <c r="K133" i="4"/>
  <c r="J133" i="4"/>
  <c r="I133" i="4"/>
  <c r="H133" i="4"/>
  <c r="P132" i="4"/>
  <c r="O132" i="4"/>
  <c r="N132" i="4"/>
  <c r="M132" i="4"/>
  <c r="L132" i="4"/>
  <c r="K132" i="4"/>
  <c r="J132" i="4"/>
  <c r="I132" i="4"/>
  <c r="H132" i="4"/>
  <c r="P131" i="4"/>
  <c r="O131" i="4"/>
  <c r="N131" i="4"/>
  <c r="M131" i="4"/>
  <c r="L131" i="4"/>
  <c r="K131" i="4"/>
  <c r="J131" i="4"/>
  <c r="I131" i="4"/>
  <c r="H131" i="4"/>
  <c r="P130" i="4"/>
  <c r="O130" i="4"/>
  <c r="N130" i="4"/>
  <c r="M130" i="4"/>
  <c r="L130" i="4"/>
  <c r="K130" i="4"/>
  <c r="J130" i="4"/>
  <c r="I130" i="4"/>
  <c r="H130" i="4"/>
  <c r="P129" i="4"/>
  <c r="O129" i="4"/>
  <c r="N129" i="4"/>
  <c r="M129" i="4"/>
  <c r="L129" i="4"/>
  <c r="K129" i="4"/>
  <c r="J129" i="4"/>
  <c r="I129" i="4"/>
  <c r="H129" i="4"/>
  <c r="P128" i="4"/>
  <c r="O128" i="4"/>
  <c r="N128" i="4"/>
  <c r="M128" i="4"/>
  <c r="L128" i="4"/>
  <c r="K128" i="4"/>
  <c r="J128" i="4"/>
  <c r="I128" i="4"/>
  <c r="H128" i="4"/>
  <c r="P127" i="4"/>
  <c r="O127" i="4"/>
  <c r="N127" i="4"/>
  <c r="M127" i="4"/>
  <c r="L127" i="4"/>
  <c r="K127" i="4"/>
  <c r="J127" i="4"/>
  <c r="I127" i="4"/>
  <c r="H127" i="4"/>
  <c r="P126" i="4"/>
  <c r="O126" i="4"/>
  <c r="N126" i="4"/>
  <c r="M126" i="4"/>
  <c r="L126" i="4"/>
  <c r="K126" i="4"/>
  <c r="J126" i="4"/>
  <c r="I126" i="4"/>
  <c r="H126" i="4"/>
  <c r="P125" i="4"/>
  <c r="O125" i="4"/>
  <c r="N125" i="4"/>
  <c r="M125" i="4"/>
  <c r="L125" i="4"/>
  <c r="K125" i="4"/>
  <c r="J125" i="4"/>
  <c r="I125" i="4"/>
  <c r="H125" i="4"/>
  <c r="P124" i="4"/>
  <c r="O124" i="4"/>
  <c r="N124" i="4"/>
  <c r="M124" i="4"/>
  <c r="L124" i="4"/>
  <c r="K124" i="4"/>
  <c r="J124" i="4"/>
  <c r="I124" i="4"/>
  <c r="H124" i="4"/>
  <c r="P123" i="4"/>
  <c r="O123" i="4"/>
  <c r="N123" i="4"/>
  <c r="M123" i="4"/>
  <c r="L123" i="4"/>
  <c r="K123" i="4"/>
  <c r="J123" i="4"/>
  <c r="I123" i="4"/>
  <c r="H123" i="4"/>
  <c r="P122" i="4"/>
  <c r="O122" i="4"/>
  <c r="N122" i="4"/>
  <c r="M122" i="4"/>
  <c r="L122" i="4"/>
  <c r="K122" i="4"/>
  <c r="J122" i="4"/>
  <c r="I122" i="4"/>
  <c r="H122" i="4"/>
  <c r="P121" i="4"/>
  <c r="O121" i="4"/>
  <c r="N121" i="4"/>
  <c r="M121" i="4"/>
  <c r="L121" i="4"/>
  <c r="K121" i="4"/>
  <c r="J121" i="4"/>
  <c r="I121" i="4"/>
  <c r="H121" i="4"/>
  <c r="P120" i="4"/>
  <c r="O120" i="4"/>
  <c r="N120" i="4"/>
  <c r="M120" i="4"/>
  <c r="L120" i="4"/>
  <c r="K120" i="4"/>
  <c r="J120" i="4"/>
  <c r="I120" i="4"/>
  <c r="H120" i="4"/>
  <c r="P119" i="4"/>
  <c r="O119" i="4"/>
  <c r="N119" i="4"/>
  <c r="M119" i="4"/>
  <c r="L119" i="4"/>
  <c r="K119" i="4"/>
  <c r="J119" i="4"/>
  <c r="I119" i="4"/>
  <c r="H119" i="4"/>
  <c r="P118" i="4"/>
  <c r="O118" i="4"/>
  <c r="N118" i="4"/>
  <c r="M118" i="4"/>
  <c r="L118" i="4"/>
  <c r="K118" i="4"/>
  <c r="J118" i="4"/>
  <c r="I118" i="4"/>
  <c r="H118" i="4"/>
  <c r="P117" i="4"/>
  <c r="O117" i="4"/>
  <c r="N117" i="4"/>
  <c r="M117" i="4"/>
  <c r="L117" i="4"/>
  <c r="K117" i="4"/>
  <c r="J117" i="4"/>
  <c r="I117" i="4"/>
  <c r="H117" i="4"/>
  <c r="P116" i="4"/>
  <c r="O116" i="4"/>
  <c r="N116" i="4"/>
  <c r="M116" i="4"/>
  <c r="L116" i="4"/>
  <c r="K116" i="4"/>
  <c r="J116" i="4"/>
  <c r="I116" i="4"/>
  <c r="H116" i="4"/>
  <c r="P115" i="4"/>
  <c r="O115" i="4"/>
  <c r="N115" i="4"/>
  <c r="M115" i="4"/>
  <c r="L115" i="4"/>
  <c r="K115" i="4"/>
  <c r="J115" i="4"/>
  <c r="I115" i="4"/>
  <c r="H115" i="4"/>
  <c r="P114" i="4"/>
  <c r="O114" i="4"/>
  <c r="N114" i="4"/>
  <c r="M114" i="4"/>
  <c r="L114" i="4"/>
  <c r="K114" i="4"/>
  <c r="J114" i="4"/>
  <c r="I114" i="4"/>
  <c r="H114" i="4"/>
  <c r="P113" i="4"/>
  <c r="O113" i="4"/>
  <c r="N113" i="4"/>
  <c r="M113" i="4"/>
  <c r="L113" i="4"/>
  <c r="K113" i="4"/>
  <c r="J113" i="4"/>
  <c r="I113" i="4"/>
  <c r="H113" i="4"/>
  <c r="P112" i="4"/>
  <c r="O112" i="4"/>
  <c r="N112" i="4"/>
  <c r="M112" i="4"/>
  <c r="L112" i="4"/>
  <c r="K112" i="4"/>
  <c r="J112" i="4"/>
  <c r="I112" i="4"/>
  <c r="H112" i="4"/>
  <c r="P111" i="4"/>
  <c r="O111" i="4"/>
  <c r="N111" i="4"/>
  <c r="M111" i="4"/>
  <c r="L111" i="4"/>
  <c r="K111" i="4"/>
  <c r="J111" i="4"/>
  <c r="I111" i="4"/>
  <c r="H111" i="4"/>
  <c r="P110" i="4"/>
  <c r="O110" i="4"/>
  <c r="N110" i="4"/>
  <c r="M110" i="4"/>
  <c r="L110" i="4"/>
  <c r="K110" i="4"/>
  <c r="J110" i="4"/>
  <c r="I110" i="4"/>
  <c r="H110" i="4"/>
  <c r="P109" i="4"/>
  <c r="O109" i="4"/>
  <c r="N109" i="4"/>
  <c r="M109" i="4"/>
  <c r="L109" i="4"/>
  <c r="K109" i="4"/>
  <c r="J109" i="4"/>
  <c r="I109" i="4"/>
  <c r="H109" i="4"/>
  <c r="P108" i="4"/>
  <c r="O108" i="4"/>
  <c r="N108" i="4"/>
  <c r="M108" i="4"/>
  <c r="L108" i="4"/>
  <c r="K108" i="4"/>
  <c r="J108" i="4"/>
  <c r="I108" i="4"/>
  <c r="H108" i="4"/>
  <c r="P107" i="4"/>
  <c r="O107" i="4"/>
  <c r="N107" i="4"/>
  <c r="M107" i="4"/>
  <c r="L107" i="4"/>
  <c r="K107" i="4"/>
  <c r="J107" i="4"/>
  <c r="I107" i="4"/>
  <c r="H107" i="4"/>
  <c r="P106" i="4"/>
  <c r="O106" i="4"/>
  <c r="N106" i="4"/>
  <c r="M106" i="4"/>
  <c r="L106" i="4"/>
  <c r="K106" i="4"/>
  <c r="J106" i="4"/>
  <c r="I106" i="4"/>
  <c r="H106" i="4"/>
  <c r="P105" i="4"/>
  <c r="O105" i="4"/>
  <c r="N105" i="4"/>
  <c r="M105" i="4"/>
  <c r="L105" i="4"/>
  <c r="K105" i="4"/>
  <c r="J105" i="4"/>
  <c r="I105" i="4"/>
  <c r="H105" i="4"/>
  <c r="P104" i="4"/>
  <c r="O104" i="4"/>
  <c r="N104" i="4"/>
  <c r="M104" i="4"/>
  <c r="L104" i="4"/>
  <c r="K104" i="4"/>
  <c r="J104" i="4"/>
  <c r="I104" i="4"/>
  <c r="H104" i="4"/>
  <c r="P103" i="4"/>
  <c r="O103" i="4"/>
  <c r="N103" i="4"/>
  <c r="M103" i="4"/>
  <c r="L103" i="4"/>
  <c r="K103" i="4"/>
  <c r="J103" i="4"/>
  <c r="I103" i="4"/>
  <c r="H103" i="4"/>
  <c r="P102" i="4"/>
  <c r="O102" i="4"/>
  <c r="N102" i="4"/>
  <c r="M102" i="4"/>
  <c r="L102" i="4"/>
  <c r="K102" i="4"/>
  <c r="J102" i="4"/>
  <c r="I102" i="4"/>
  <c r="H102" i="4"/>
  <c r="P101" i="4"/>
  <c r="O101" i="4"/>
  <c r="N101" i="4"/>
  <c r="M101" i="4"/>
  <c r="L101" i="4"/>
  <c r="K101" i="4"/>
  <c r="J101" i="4"/>
  <c r="I101" i="4"/>
  <c r="H101" i="4"/>
  <c r="P100" i="4"/>
  <c r="O100" i="4"/>
  <c r="N100" i="4"/>
  <c r="M100" i="4"/>
  <c r="L100" i="4"/>
  <c r="K100" i="4"/>
  <c r="J100" i="4"/>
  <c r="I100" i="4"/>
  <c r="H100" i="4"/>
  <c r="P99" i="4"/>
  <c r="O99" i="4"/>
  <c r="N99" i="4"/>
  <c r="M99" i="4"/>
  <c r="L99" i="4"/>
  <c r="K99" i="4"/>
  <c r="J99" i="4"/>
  <c r="I99" i="4"/>
  <c r="H99" i="4"/>
  <c r="P98" i="4"/>
  <c r="O98" i="4"/>
  <c r="N98" i="4"/>
  <c r="M98" i="4"/>
  <c r="L98" i="4"/>
  <c r="K98" i="4"/>
  <c r="J98" i="4"/>
  <c r="I98" i="4"/>
  <c r="H98" i="4"/>
  <c r="P97" i="4"/>
  <c r="O97" i="4"/>
  <c r="N97" i="4"/>
  <c r="M97" i="4"/>
  <c r="L97" i="4"/>
  <c r="K97" i="4"/>
  <c r="J97" i="4"/>
  <c r="I97" i="4"/>
  <c r="H97" i="4"/>
  <c r="P96" i="4"/>
  <c r="O96" i="4"/>
  <c r="N96" i="4"/>
  <c r="M96" i="4"/>
  <c r="L96" i="4"/>
  <c r="K96" i="4"/>
  <c r="J96" i="4"/>
  <c r="I96" i="4"/>
  <c r="H96" i="4"/>
  <c r="P95" i="4"/>
  <c r="O95" i="4"/>
  <c r="N95" i="4"/>
  <c r="M95" i="4"/>
  <c r="L95" i="4"/>
  <c r="K95" i="4"/>
  <c r="J95" i="4"/>
  <c r="I95" i="4"/>
  <c r="H95" i="4"/>
  <c r="P94" i="4"/>
  <c r="O94" i="4"/>
  <c r="N94" i="4"/>
  <c r="M94" i="4"/>
  <c r="L94" i="4"/>
  <c r="K94" i="4"/>
  <c r="J94" i="4"/>
  <c r="I94" i="4"/>
  <c r="H94" i="4"/>
  <c r="P93" i="4"/>
  <c r="O93" i="4"/>
  <c r="N93" i="4"/>
  <c r="M93" i="4"/>
  <c r="L93" i="4"/>
  <c r="K93" i="4"/>
  <c r="J93" i="4"/>
  <c r="I93" i="4"/>
  <c r="H93" i="4"/>
  <c r="P92" i="4"/>
  <c r="O92" i="4"/>
  <c r="N92" i="4"/>
  <c r="M92" i="4"/>
  <c r="L92" i="4"/>
  <c r="K92" i="4"/>
  <c r="J92" i="4"/>
  <c r="I92" i="4"/>
  <c r="H92" i="4"/>
  <c r="P91" i="4"/>
  <c r="O91" i="4"/>
  <c r="N91" i="4"/>
  <c r="M91" i="4"/>
  <c r="L91" i="4"/>
  <c r="K91" i="4"/>
  <c r="J91" i="4"/>
  <c r="I91" i="4"/>
  <c r="H91" i="4"/>
  <c r="P90" i="4"/>
  <c r="O90" i="4"/>
  <c r="N90" i="4"/>
  <c r="M90" i="4"/>
  <c r="L90" i="4"/>
  <c r="K90" i="4"/>
  <c r="J90" i="4"/>
  <c r="I90" i="4"/>
  <c r="H90" i="4"/>
  <c r="P89" i="4"/>
  <c r="O89" i="4"/>
  <c r="N89" i="4"/>
  <c r="M89" i="4"/>
  <c r="L89" i="4"/>
  <c r="K89" i="4"/>
  <c r="J89" i="4"/>
  <c r="I89" i="4"/>
  <c r="H89" i="4"/>
  <c r="P88" i="4"/>
  <c r="O88" i="4"/>
  <c r="N88" i="4"/>
  <c r="M88" i="4"/>
  <c r="L88" i="4"/>
  <c r="K88" i="4"/>
  <c r="J88" i="4"/>
  <c r="I88" i="4"/>
  <c r="H88" i="4"/>
  <c r="P87" i="4"/>
  <c r="O87" i="4"/>
  <c r="N87" i="4"/>
  <c r="M87" i="4"/>
  <c r="L87" i="4"/>
  <c r="K87" i="4"/>
  <c r="J87" i="4"/>
  <c r="I87" i="4"/>
  <c r="H87" i="4"/>
  <c r="P86" i="4"/>
  <c r="O86" i="4"/>
  <c r="N86" i="4"/>
  <c r="M86" i="4"/>
  <c r="L86" i="4"/>
  <c r="K86" i="4"/>
  <c r="J86" i="4"/>
  <c r="I86" i="4"/>
  <c r="H86" i="4"/>
  <c r="P85" i="4"/>
  <c r="O85" i="4"/>
  <c r="N85" i="4"/>
  <c r="M85" i="4"/>
  <c r="L85" i="4"/>
  <c r="K85" i="4"/>
  <c r="J85" i="4"/>
  <c r="I85" i="4"/>
  <c r="H85" i="4"/>
  <c r="P84" i="4"/>
  <c r="O84" i="4"/>
  <c r="N84" i="4"/>
  <c r="M84" i="4"/>
  <c r="L84" i="4"/>
  <c r="K84" i="4"/>
  <c r="J84" i="4"/>
  <c r="I84" i="4"/>
  <c r="H84" i="4"/>
  <c r="P83" i="4"/>
  <c r="O83" i="4"/>
  <c r="N83" i="4"/>
  <c r="M83" i="4"/>
  <c r="L83" i="4"/>
  <c r="K83" i="4"/>
  <c r="J83" i="4"/>
  <c r="I83" i="4"/>
  <c r="H83" i="4"/>
  <c r="P82" i="4"/>
  <c r="O82" i="4"/>
  <c r="N82" i="4"/>
  <c r="M82" i="4"/>
  <c r="L82" i="4"/>
  <c r="K82" i="4"/>
  <c r="J82" i="4"/>
  <c r="I82" i="4"/>
  <c r="H82" i="4"/>
  <c r="P81" i="4"/>
  <c r="O81" i="4"/>
  <c r="N81" i="4"/>
  <c r="M81" i="4"/>
  <c r="L81" i="4"/>
  <c r="K81" i="4"/>
  <c r="J81" i="4"/>
  <c r="I81" i="4"/>
  <c r="H81" i="4"/>
  <c r="P80" i="4"/>
  <c r="O80" i="4"/>
  <c r="N80" i="4"/>
  <c r="M80" i="4"/>
  <c r="L80" i="4"/>
  <c r="K80" i="4"/>
  <c r="J80" i="4"/>
  <c r="I80" i="4"/>
  <c r="H80" i="4"/>
  <c r="P79" i="4"/>
  <c r="O79" i="4"/>
  <c r="N79" i="4"/>
  <c r="M79" i="4"/>
  <c r="L79" i="4"/>
  <c r="K79" i="4"/>
  <c r="J79" i="4"/>
  <c r="I79" i="4"/>
  <c r="H79" i="4"/>
  <c r="P78" i="4"/>
  <c r="O78" i="4"/>
  <c r="N78" i="4"/>
  <c r="M78" i="4"/>
  <c r="L78" i="4"/>
  <c r="K78" i="4"/>
  <c r="J78" i="4"/>
  <c r="I78" i="4"/>
  <c r="H78" i="4"/>
  <c r="P77" i="4"/>
  <c r="O77" i="4"/>
  <c r="N77" i="4"/>
  <c r="M77" i="4"/>
  <c r="L77" i="4"/>
  <c r="K77" i="4"/>
  <c r="J77" i="4"/>
  <c r="I77" i="4"/>
  <c r="H77" i="4"/>
  <c r="P76" i="4"/>
  <c r="O76" i="4"/>
  <c r="N76" i="4"/>
  <c r="M76" i="4"/>
  <c r="L76" i="4"/>
  <c r="K76" i="4"/>
  <c r="J76" i="4"/>
  <c r="I76" i="4"/>
  <c r="H76" i="4"/>
  <c r="P75" i="4"/>
  <c r="O75" i="4"/>
  <c r="N75" i="4"/>
  <c r="M75" i="4"/>
  <c r="L75" i="4"/>
  <c r="K75" i="4"/>
  <c r="J75" i="4"/>
  <c r="I75" i="4"/>
  <c r="H75" i="4"/>
  <c r="P74" i="4"/>
  <c r="O74" i="4"/>
  <c r="N74" i="4"/>
  <c r="M74" i="4"/>
  <c r="L74" i="4"/>
  <c r="K74" i="4"/>
  <c r="J74" i="4"/>
  <c r="I74" i="4"/>
  <c r="H74" i="4"/>
  <c r="P73" i="4"/>
  <c r="O73" i="4"/>
  <c r="N73" i="4"/>
  <c r="M73" i="4"/>
  <c r="L73" i="4"/>
  <c r="K73" i="4"/>
  <c r="J73" i="4"/>
  <c r="I73" i="4"/>
  <c r="H73" i="4"/>
  <c r="P72" i="4"/>
  <c r="O72" i="4"/>
  <c r="N72" i="4"/>
  <c r="M72" i="4"/>
  <c r="L72" i="4"/>
  <c r="K72" i="4"/>
  <c r="J72" i="4"/>
  <c r="I72" i="4"/>
  <c r="H72" i="4"/>
  <c r="P71" i="4"/>
  <c r="O71" i="4"/>
  <c r="N71" i="4"/>
  <c r="M71" i="4"/>
  <c r="L71" i="4"/>
  <c r="K71" i="4"/>
  <c r="J71" i="4"/>
  <c r="I71" i="4"/>
  <c r="H71" i="4"/>
  <c r="P70" i="4"/>
  <c r="O70" i="4"/>
  <c r="N70" i="4"/>
  <c r="M70" i="4"/>
  <c r="L70" i="4"/>
  <c r="K70" i="4"/>
  <c r="J70" i="4"/>
  <c r="I70" i="4"/>
  <c r="H70" i="4"/>
  <c r="P69" i="4"/>
  <c r="O69" i="4"/>
  <c r="N69" i="4"/>
  <c r="M69" i="4"/>
  <c r="L69" i="4"/>
  <c r="K69" i="4"/>
  <c r="J69" i="4"/>
  <c r="I69" i="4"/>
  <c r="H69" i="4"/>
  <c r="P68" i="4"/>
  <c r="O68" i="4"/>
  <c r="N68" i="4"/>
  <c r="M68" i="4"/>
  <c r="L68" i="4"/>
  <c r="K68" i="4"/>
  <c r="J68" i="4"/>
  <c r="I68" i="4"/>
  <c r="H68" i="4"/>
  <c r="P67" i="4"/>
  <c r="O67" i="4"/>
  <c r="N67" i="4"/>
  <c r="M67" i="4"/>
  <c r="L67" i="4"/>
  <c r="K67" i="4"/>
  <c r="J67" i="4"/>
  <c r="I67" i="4"/>
  <c r="H67" i="4"/>
  <c r="P66" i="4"/>
  <c r="O66" i="4"/>
  <c r="N66" i="4"/>
  <c r="M66" i="4"/>
  <c r="L66" i="4"/>
  <c r="K66" i="4"/>
  <c r="J66" i="4"/>
  <c r="I66" i="4"/>
  <c r="H66" i="4"/>
  <c r="P65" i="4"/>
  <c r="O65" i="4"/>
  <c r="N65" i="4"/>
  <c r="M65" i="4"/>
  <c r="L65" i="4"/>
  <c r="K65" i="4"/>
  <c r="J65" i="4"/>
  <c r="I65" i="4"/>
  <c r="H65" i="4"/>
  <c r="P64" i="4"/>
  <c r="O64" i="4"/>
  <c r="N64" i="4"/>
  <c r="M64" i="4"/>
  <c r="L64" i="4"/>
  <c r="K64" i="4"/>
  <c r="J64" i="4"/>
  <c r="I64" i="4"/>
  <c r="H64" i="4"/>
  <c r="P63" i="4"/>
  <c r="O63" i="4"/>
  <c r="N63" i="4"/>
  <c r="M63" i="4"/>
  <c r="L63" i="4"/>
  <c r="K63" i="4"/>
  <c r="J63" i="4"/>
  <c r="I63" i="4"/>
  <c r="H63" i="4"/>
  <c r="P62" i="4"/>
  <c r="O62" i="4"/>
  <c r="N62" i="4"/>
  <c r="M62" i="4"/>
  <c r="L62" i="4"/>
  <c r="K62" i="4"/>
  <c r="J62" i="4"/>
  <c r="I62" i="4"/>
  <c r="H62" i="4"/>
  <c r="P61" i="4"/>
  <c r="O61" i="4"/>
  <c r="N61" i="4"/>
  <c r="M61" i="4"/>
  <c r="L61" i="4"/>
  <c r="K61" i="4"/>
  <c r="J61" i="4"/>
  <c r="I61" i="4"/>
  <c r="H61" i="4"/>
  <c r="P60" i="4"/>
  <c r="O60" i="4"/>
  <c r="N60" i="4"/>
  <c r="M60" i="4"/>
  <c r="L60" i="4"/>
  <c r="K60" i="4"/>
  <c r="J60" i="4"/>
  <c r="I60" i="4"/>
  <c r="H60" i="4"/>
  <c r="P59" i="4"/>
  <c r="O59" i="4"/>
  <c r="N59" i="4"/>
  <c r="M59" i="4"/>
  <c r="L59" i="4"/>
  <c r="K59" i="4"/>
  <c r="J59" i="4"/>
  <c r="I59" i="4"/>
  <c r="H59" i="4"/>
  <c r="P58" i="4"/>
  <c r="O58" i="4"/>
  <c r="N58" i="4"/>
  <c r="M58" i="4"/>
  <c r="L58" i="4"/>
  <c r="K58" i="4"/>
  <c r="J58" i="4"/>
  <c r="I58" i="4"/>
  <c r="H58" i="4"/>
  <c r="P57" i="4"/>
  <c r="O57" i="4"/>
  <c r="N57" i="4"/>
  <c r="M57" i="4"/>
  <c r="L57" i="4"/>
  <c r="K57" i="4"/>
  <c r="J57" i="4"/>
  <c r="I57" i="4"/>
  <c r="H57" i="4"/>
  <c r="P56" i="4"/>
  <c r="O56" i="4"/>
  <c r="N56" i="4"/>
  <c r="M56" i="4"/>
  <c r="L56" i="4"/>
  <c r="K56" i="4"/>
  <c r="J56" i="4"/>
  <c r="I56" i="4"/>
  <c r="H56" i="4"/>
  <c r="P55" i="4"/>
  <c r="O55" i="4"/>
  <c r="N55" i="4"/>
  <c r="M55" i="4"/>
  <c r="L55" i="4"/>
  <c r="K55" i="4"/>
  <c r="J55" i="4"/>
  <c r="I55" i="4"/>
  <c r="H55" i="4"/>
  <c r="P54" i="4"/>
  <c r="O54" i="4"/>
  <c r="N54" i="4"/>
  <c r="M54" i="4"/>
  <c r="L54" i="4"/>
  <c r="K54" i="4"/>
  <c r="J54" i="4"/>
  <c r="I54" i="4"/>
  <c r="H54" i="4"/>
  <c r="P53" i="4"/>
  <c r="O53" i="4"/>
  <c r="N53" i="4"/>
  <c r="M53" i="4"/>
  <c r="L53" i="4"/>
  <c r="K53" i="4"/>
  <c r="J53" i="4"/>
  <c r="I53" i="4"/>
  <c r="H53" i="4"/>
  <c r="P52" i="4"/>
  <c r="O52" i="4"/>
  <c r="N52" i="4"/>
  <c r="M52" i="4"/>
  <c r="L52" i="4"/>
  <c r="K52" i="4"/>
  <c r="J52" i="4"/>
  <c r="I52" i="4"/>
  <c r="H52" i="4"/>
  <c r="P51" i="4"/>
  <c r="O51" i="4"/>
  <c r="N51" i="4"/>
  <c r="M51" i="4"/>
  <c r="L51" i="4"/>
  <c r="K51" i="4"/>
  <c r="J51" i="4"/>
  <c r="I51" i="4"/>
  <c r="H51" i="4"/>
  <c r="P50" i="4"/>
  <c r="O50" i="4"/>
  <c r="N50" i="4"/>
  <c r="M50" i="4"/>
  <c r="L50" i="4"/>
  <c r="K50" i="4"/>
  <c r="J50" i="4"/>
  <c r="I50" i="4"/>
  <c r="H50" i="4"/>
  <c r="P49" i="4"/>
  <c r="O49" i="4"/>
  <c r="N49" i="4"/>
  <c r="M49" i="4"/>
  <c r="L49" i="4"/>
  <c r="K49" i="4"/>
  <c r="J49" i="4"/>
  <c r="I49" i="4"/>
  <c r="H49" i="4"/>
  <c r="P48" i="4"/>
  <c r="O48" i="4"/>
  <c r="N48" i="4"/>
  <c r="M48" i="4"/>
  <c r="L48" i="4"/>
  <c r="K48" i="4"/>
  <c r="J48" i="4"/>
  <c r="I48" i="4"/>
  <c r="H48" i="4"/>
  <c r="P47" i="4"/>
  <c r="O47" i="4"/>
  <c r="N47" i="4"/>
  <c r="M47" i="4"/>
  <c r="L47" i="4"/>
  <c r="K47" i="4"/>
  <c r="J47" i="4"/>
  <c r="I47" i="4"/>
  <c r="H47" i="4"/>
  <c r="P46" i="4"/>
  <c r="O46" i="4"/>
  <c r="N46" i="4"/>
  <c r="M46" i="4"/>
  <c r="L46" i="4"/>
  <c r="K46" i="4"/>
  <c r="J46" i="4"/>
  <c r="I46" i="4"/>
  <c r="H46" i="4"/>
  <c r="P45" i="4"/>
  <c r="O45" i="4"/>
  <c r="N45" i="4"/>
  <c r="M45" i="4"/>
  <c r="L45" i="4"/>
  <c r="K45" i="4"/>
  <c r="J45" i="4"/>
  <c r="I45" i="4"/>
  <c r="H45" i="4"/>
  <c r="P44" i="4"/>
  <c r="O44" i="4"/>
  <c r="N44" i="4"/>
  <c r="M44" i="4"/>
  <c r="L44" i="4"/>
  <c r="K44" i="4"/>
  <c r="J44" i="4"/>
  <c r="I44" i="4"/>
  <c r="H44" i="4"/>
  <c r="P43" i="4"/>
  <c r="O43" i="4"/>
  <c r="N43" i="4"/>
  <c r="M43" i="4"/>
  <c r="L43" i="4"/>
  <c r="K43" i="4"/>
  <c r="J43" i="4"/>
  <c r="I43" i="4"/>
  <c r="H43" i="4"/>
  <c r="P42" i="4"/>
  <c r="O42" i="4"/>
  <c r="N42" i="4"/>
  <c r="M42" i="4"/>
  <c r="L42" i="4"/>
  <c r="K42" i="4"/>
  <c r="J42" i="4"/>
  <c r="I42" i="4"/>
  <c r="H42" i="4"/>
  <c r="P41" i="4"/>
  <c r="O41" i="4"/>
  <c r="N41" i="4"/>
  <c r="M41" i="4"/>
  <c r="L41" i="4"/>
  <c r="K41" i="4"/>
  <c r="J41" i="4"/>
  <c r="I41" i="4"/>
  <c r="H41" i="4"/>
  <c r="P40" i="4"/>
  <c r="O40" i="4"/>
  <c r="N40" i="4"/>
  <c r="M40" i="4"/>
  <c r="L40" i="4"/>
  <c r="K40" i="4"/>
  <c r="J40" i="4"/>
  <c r="I40" i="4"/>
  <c r="H40" i="4"/>
  <c r="P39" i="4"/>
  <c r="O39" i="4"/>
  <c r="N39" i="4"/>
  <c r="M39" i="4"/>
  <c r="L39" i="4"/>
  <c r="K39" i="4"/>
  <c r="J39" i="4"/>
  <c r="I39" i="4"/>
  <c r="H39" i="4"/>
  <c r="P38" i="4"/>
  <c r="O38" i="4"/>
  <c r="N38" i="4"/>
  <c r="M38" i="4"/>
  <c r="L38" i="4"/>
  <c r="K38" i="4"/>
  <c r="J38" i="4"/>
  <c r="I38" i="4"/>
  <c r="H38" i="4"/>
  <c r="P37" i="4"/>
  <c r="O37" i="4"/>
  <c r="N37" i="4"/>
  <c r="M37" i="4"/>
  <c r="L37" i="4"/>
  <c r="K37" i="4"/>
  <c r="J37" i="4"/>
  <c r="I37" i="4"/>
  <c r="H37" i="4"/>
  <c r="P36" i="4"/>
  <c r="O36" i="4"/>
  <c r="N36" i="4"/>
  <c r="M36" i="4"/>
  <c r="L36" i="4"/>
  <c r="K36" i="4"/>
  <c r="J36" i="4"/>
  <c r="I36" i="4"/>
  <c r="H36" i="4"/>
  <c r="P35" i="4"/>
  <c r="O35" i="4"/>
  <c r="N35" i="4"/>
  <c r="M35" i="4"/>
  <c r="L35" i="4"/>
  <c r="K35" i="4"/>
  <c r="J35" i="4"/>
  <c r="I35" i="4"/>
  <c r="H35" i="4"/>
  <c r="P34" i="4"/>
  <c r="O34" i="4"/>
  <c r="N34" i="4"/>
  <c r="M34" i="4"/>
  <c r="L34" i="4"/>
  <c r="K34" i="4"/>
  <c r="J34" i="4"/>
  <c r="I34" i="4"/>
  <c r="H34" i="4"/>
  <c r="P33" i="4"/>
  <c r="O33" i="4"/>
  <c r="N33" i="4"/>
  <c r="M33" i="4"/>
  <c r="L33" i="4"/>
  <c r="K33" i="4"/>
  <c r="J33" i="4"/>
  <c r="I33" i="4"/>
  <c r="H33" i="4"/>
  <c r="P32" i="4"/>
  <c r="O32" i="4"/>
  <c r="N32" i="4"/>
  <c r="M32" i="4"/>
  <c r="L32" i="4"/>
  <c r="K32" i="4"/>
  <c r="J32" i="4"/>
  <c r="I32" i="4"/>
  <c r="H32" i="4"/>
  <c r="P31" i="4"/>
  <c r="O31" i="4"/>
  <c r="N31" i="4"/>
  <c r="M31" i="4"/>
  <c r="L31" i="4"/>
  <c r="K31" i="4"/>
  <c r="J31" i="4"/>
  <c r="I31" i="4"/>
  <c r="H31" i="4"/>
  <c r="P30" i="4"/>
  <c r="O30" i="4"/>
  <c r="N30" i="4"/>
  <c r="M30" i="4"/>
  <c r="L30" i="4"/>
  <c r="K30" i="4"/>
  <c r="J30" i="4"/>
  <c r="I30" i="4"/>
  <c r="H30" i="4"/>
  <c r="P29" i="4"/>
  <c r="O29" i="4"/>
  <c r="N29" i="4"/>
  <c r="M29" i="4"/>
  <c r="L29" i="4"/>
  <c r="K29" i="4"/>
  <c r="J29" i="4"/>
  <c r="I29" i="4"/>
  <c r="H29" i="4"/>
  <c r="P28" i="4"/>
  <c r="O28" i="4"/>
  <c r="N28" i="4"/>
  <c r="M28" i="4"/>
  <c r="L28" i="4"/>
  <c r="K28" i="4"/>
  <c r="J28" i="4"/>
  <c r="I28" i="4"/>
  <c r="H28" i="4"/>
  <c r="P27" i="4"/>
  <c r="O27" i="4"/>
  <c r="N27" i="4"/>
  <c r="M27" i="4"/>
  <c r="L27" i="4"/>
  <c r="K27" i="4"/>
  <c r="J27" i="4"/>
  <c r="I27" i="4"/>
  <c r="H27" i="4"/>
  <c r="P26" i="4"/>
  <c r="O26" i="4"/>
  <c r="N26" i="4"/>
  <c r="M26" i="4"/>
  <c r="L26" i="4"/>
  <c r="K26" i="4"/>
  <c r="J26" i="4"/>
  <c r="I26" i="4"/>
  <c r="H26" i="4"/>
  <c r="P25" i="4"/>
  <c r="O25" i="4"/>
  <c r="N25" i="4"/>
  <c r="M25" i="4"/>
  <c r="L25" i="4"/>
  <c r="K25" i="4"/>
  <c r="J25" i="4"/>
  <c r="I25" i="4"/>
  <c r="H25" i="4"/>
  <c r="P24" i="4"/>
  <c r="O24" i="4"/>
  <c r="N24" i="4"/>
  <c r="M24" i="4"/>
  <c r="L24" i="4"/>
  <c r="K24" i="4"/>
  <c r="J24" i="4"/>
  <c r="I24" i="4"/>
  <c r="H24" i="4"/>
  <c r="P23" i="4"/>
  <c r="O23" i="4"/>
  <c r="N23" i="4"/>
  <c r="M23" i="4"/>
  <c r="L23" i="4"/>
  <c r="K23" i="4"/>
  <c r="J23" i="4"/>
  <c r="I23" i="4"/>
  <c r="H23" i="4"/>
  <c r="P22" i="4"/>
  <c r="O22" i="4"/>
  <c r="N22" i="4"/>
  <c r="M22" i="4"/>
  <c r="L22" i="4"/>
  <c r="K22" i="4"/>
  <c r="J22" i="4"/>
  <c r="I22" i="4"/>
  <c r="H22" i="4"/>
  <c r="P21" i="4"/>
  <c r="O21" i="4"/>
  <c r="N21" i="4"/>
  <c r="M21" i="4"/>
  <c r="L21" i="4"/>
  <c r="K21" i="4"/>
  <c r="J21" i="4"/>
  <c r="I21" i="4"/>
  <c r="H21" i="4"/>
  <c r="P20" i="4"/>
  <c r="O20" i="4"/>
  <c r="N20" i="4"/>
  <c r="M20" i="4"/>
  <c r="L20" i="4"/>
  <c r="K20" i="4"/>
  <c r="J20" i="4"/>
  <c r="I20" i="4"/>
  <c r="H20" i="4"/>
  <c r="P19" i="4"/>
  <c r="O19" i="4"/>
  <c r="N19" i="4"/>
  <c r="M19" i="4"/>
  <c r="L19" i="4"/>
  <c r="K19" i="4"/>
  <c r="J19" i="4"/>
  <c r="I19" i="4"/>
  <c r="H19" i="4"/>
  <c r="P18" i="4"/>
  <c r="O18" i="4"/>
  <c r="N18" i="4"/>
  <c r="M18" i="4"/>
  <c r="L18" i="4"/>
  <c r="K18" i="4"/>
  <c r="J18" i="4"/>
  <c r="I18" i="4"/>
  <c r="H18" i="4"/>
  <c r="P17" i="4"/>
  <c r="O17" i="4"/>
  <c r="N17" i="4"/>
  <c r="M17" i="4"/>
  <c r="L17" i="4"/>
  <c r="K17" i="4"/>
  <c r="J17" i="4"/>
  <c r="I17" i="4"/>
  <c r="H17" i="4"/>
  <c r="P16" i="4"/>
  <c r="O16" i="4"/>
  <c r="N16" i="4"/>
  <c r="M16" i="4"/>
  <c r="L16" i="4"/>
  <c r="K16" i="4"/>
  <c r="J16" i="4"/>
  <c r="I16" i="4"/>
  <c r="H16" i="4"/>
  <c r="P15" i="4"/>
  <c r="O15" i="4"/>
  <c r="N15" i="4"/>
  <c r="M15" i="4"/>
  <c r="L15" i="4"/>
  <c r="K15" i="4"/>
  <c r="J15" i="4"/>
  <c r="I15" i="4"/>
  <c r="H15" i="4"/>
  <c r="P14" i="4"/>
  <c r="O14" i="4"/>
  <c r="N14" i="4"/>
  <c r="M14" i="4"/>
  <c r="L14" i="4"/>
  <c r="K14" i="4"/>
  <c r="J14" i="4"/>
  <c r="I14" i="4"/>
  <c r="H14" i="4"/>
  <c r="P13" i="4"/>
  <c r="O13" i="4"/>
  <c r="N13" i="4"/>
  <c r="M13" i="4"/>
  <c r="L13" i="4"/>
  <c r="K13" i="4"/>
  <c r="J13" i="4"/>
  <c r="I13" i="4"/>
  <c r="H13" i="4"/>
  <c r="P12" i="4"/>
  <c r="O12" i="4"/>
  <c r="N12" i="4"/>
  <c r="M12" i="4"/>
  <c r="L12" i="4"/>
  <c r="K12" i="4"/>
  <c r="J12" i="4"/>
  <c r="I12" i="4"/>
  <c r="H12" i="4"/>
  <c r="P11" i="4"/>
  <c r="O11" i="4"/>
  <c r="N11" i="4"/>
  <c r="M11" i="4"/>
  <c r="L11" i="4"/>
  <c r="K11" i="4"/>
  <c r="J11" i="4"/>
  <c r="I11" i="4"/>
  <c r="H11" i="4"/>
  <c r="P10" i="4"/>
  <c r="O10" i="4"/>
  <c r="N10" i="4"/>
  <c r="M10" i="4"/>
  <c r="L10" i="4"/>
  <c r="K10" i="4"/>
  <c r="J10" i="4"/>
  <c r="I10" i="4"/>
  <c r="H10" i="4"/>
  <c r="P9" i="4"/>
  <c r="O9" i="4"/>
  <c r="N9" i="4"/>
  <c r="M9" i="4"/>
  <c r="L9" i="4"/>
  <c r="K9" i="4"/>
  <c r="J9" i="4"/>
  <c r="I9" i="4"/>
  <c r="H9" i="4"/>
  <c r="P8" i="4"/>
  <c r="O8" i="4"/>
  <c r="N8" i="4"/>
  <c r="M8" i="4"/>
  <c r="L8" i="4"/>
  <c r="K8" i="4"/>
  <c r="J8" i="4"/>
  <c r="I8" i="4"/>
  <c r="H8" i="4"/>
  <c r="P7" i="4"/>
  <c r="O7" i="4"/>
  <c r="N7" i="4"/>
  <c r="M7" i="4"/>
  <c r="L7" i="4"/>
  <c r="K7" i="4"/>
  <c r="J7" i="4"/>
  <c r="I7" i="4"/>
  <c r="H7" i="4"/>
  <c r="P6" i="4"/>
  <c r="O6" i="4"/>
  <c r="N6" i="4"/>
  <c r="M6" i="4"/>
  <c r="L6" i="4"/>
  <c r="K6" i="4"/>
  <c r="J6" i="4"/>
  <c r="I6" i="4"/>
  <c r="H6" i="4"/>
  <c r="P5" i="4"/>
  <c r="O5" i="4"/>
  <c r="N5" i="4"/>
  <c r="M5" i="4"/>
  <c r="L5" i="4"/>
  <c r="K5" i="4"/>
  <c r="J5" i="4"/>
  <c r="I5" i="4"/>
  <c r="H5" i="4"/>
  <c r="P4" i="4"/>
  <c r="O4" i="4"/>
  <c r="N4" i="4"/>
  <c r="M4" i="4"/>
  <c r="L4" i="4"/>
  <c r="K4" i="4"/>
  <c r="J4" i="4"/>
  <c r="I4" i="4"/>
  <c r="H4" i="4"/>
  <c r="P3" i="4"/>
  <c r="O3" i="4"/>
  <c r="N3" i="4"/>
  <c r="M3" i="4"/>
  <c r="L3" i="4"/>
  <c r="K3" i="4"/>
  <c r="J3" i="4"/>
  <c r="I3" i="4"/>
  <c r="H3" i="4"/>
  <c r="P2" i="4"/>
  <c r="O2" i="4"/>
  <c r="N2" i="4"/>
  <c r="M2" i="4"/>
  <c r="L2" i="4"/>
  <c r="K2" i="4"/>
  <c r="J2" i="4"/>
  <c r="I2" i="4"/>
  <c r="H2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5" i="2"/>
  <c r="B4" i="2"/>
  <c r="B3" i="2"/>
  <c r="B2" i="2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D5" i="2" s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D4" i="2" l="1"/>
  <c r="D3" i="2"/>
  <c r="D2" i="2"/>
</calcChain>
</file>

<file path=xl/sharedStrings.xml><?xml version="1.0" encoding="utf-8"?>
<sst xmlns="http://schemas.openxmlformats.org/spreadsheetml/2006/main" count="3003" uniqueCount="592">
  <si>
    <t>Player</t>
  </si>
  <si>
    <t>Pos</t>
  </si>
  <si>
    <t># Performances</t>
  </si>
  <si>
    <t>Total</t>
  </si>
  <si>
    <t>Lamar Jackson</t>
  </si>
  <si>
    <t>QB</t>
  </si>
  <si>
    <t>Baker Mayfield</t>
  </si>
  <si>
    <t>Joe Burrow</t>
  </si>
  <si>
    <t>Jalen Hurts</t>
  </si>
  <si>
    <t>Josh Allen</t>
  </si>
  <si>
    <t>Jayden Daniels</t>
  </si>
  <si>
    <t>Sam Darnold</t>
  </si>
  <si>
    <t>Bo Nix</t>
  </si>
  <si>
    <t>Jared Goff</t>
  </si>
  <si>
    <t>Kyler Murray</t>
  </si>
  <si>
    <t>Patrick Mahomes</t>
  </si>
  <si>
    <t>Brock Purdy</t>
  </si>
  <si>
    <t>Geno Smith</t>
  </si>
  <si>
    <t>Aaron Rodgers</t>
  </si>
  <si>
    <t>Justin Herbert</t>
  </si>
  <si>
    <t>Jordan Love</t>
  </si>
  <si>
    <t>Caleb Williams</t>
  </si>
  <si>
    <t>Drake Maye</t>
  </si>
  <si>
    <t>C.J. Stroud</t>
  </si>
  <si>
    <t>Matthew Stafford</t>
  </si>
  <si>
    <t>Tua Tagovailoa</t>
  </si>
  <si>
    <t>Russell Wilson</t>
  </si>
  <si>
    <t>Bryce Young</t>
  </si>
  <si>
    <t>Trevor Lawrence</t>
  </si>
  <si>
    <t>Kirk Cousins</t>
  </si>
  <si>
    <t>Anthony Richardson</t>
  </si>
  <si>
    <t>Derek Carr</t>
  </si>
  <si>
    <t>Daniel Jones</t>
  </si>
  <si>
    <t>Jameis Winston</t>
  </si>
  <si>
    <t>Will Levis</t>
  </si>
  <si>
    <t>Justin Fields</t>
  </si>
  <si>
    <t>Cooper Rush</t>
  </si>
  <si>
    <t>Dak Prescott</t>
  </si>
  <si>
    <t>Joe Flacco</t>
  </si>
  <si>
    <t>Mac Jones</t>
  </si>
  <si>
    <t>Mason Rudolph</t>
  </si>
  <si>
    <t>Aidan O'Connell</t>
  </si>
  <si>
    <t>Deshaun Watson</t>
  </si>
  <si>
    <t>Andy Dalton</t>
  </si>
  <si>
    <t>Marcus Mariota</t>
  </si>
  <si>
    <t>Gardner Minshew</t>
  </si>
  <si>
    <t>Drew Lock</t>
  </si>
  <si>
    <t>Tyler Huntley</t>
  </si>
  <si>
    <t>Malik Willis</t>
  </si>
  <si>
    <t>Michael Penix</t>
  </si>
  <si>
    <t>Joshua Dobbs</t>
  </si>
  <si>
    <t>Tanner McKee</t>
  </si>
  <si>
    <t>Kenny Pickett</t>
  </si>
  <si>
    <t>Jimmy Garoppolo</t>
  </si>
  <si>
    <t>Joe Milton</t>
  </si>
  <si>
    <t>Spencer Rattler</t>
  </si>
  <si>
    <t>Jacoby Brissett</t>
  </si>
  <si>
    <t>Desmond Ridder</t>
  </si>
  <si>
    <t>Tyrod Taylor</t>
  </si>
  <si>
    <t>Dorian Thompson-Robinson</t>
  </si>
  <si>
    <t>Mitchell Trubisky</t>
  </si>
  <si>
    <t>Tim Boyle</t>
  </si>
  <si>
    <t>Tommy DeVito</t>
  </si>
  <si>
    <t>Jake Haener</t>
  </si>
  <si>
    <t>Trey Lance</t>
  </si>
  <si>
    <t>Davis Mills</t>
  </si>
  <si>
    <t>Skylar Thompson</t>
  </si>
  <si>
    <t>Bailey Zappe</t>
  </si>
  <si>
    <t>Brandon Allen</t>
  </si>
  <si>
    <t>Carson Wentz</t>
  </si>
  <si>
    <t>Taylor Heinicke</t>
  </si>
  <si>
    <t>Hendon Hooker</t>
  </si>
  <si>
    <t>Nick Mullens</t>
  </si>
  <si>
    <t>Mike White</t>
  </si>
  <si>
    <t>Josh Johnson</t>
  </si>
  <si>
    <t>Kyle Allen</t>
  </si>
  <si>
    <t>Chris Oladokun</t>
  </si>
  <si>
    <t>Jarrett Stidham</t>
  </si>
  <si>
    <t>Jake Browning</t>
  </si>
  <si>
    <t>Kyle Trask</t>
  </si>
  <si>
    <t>Tyson Bagent</t>
  </si>
  <si>
    <t>Sam Howell</t>
  </si>
  <si>
    <t>Clayton Tune</t>
  </si>
  <si>
    <t>Alvin Kamara</t>
  </si>
  <si>
    <t>RB</t>
  </si>
  <si>
    <t>Jahmyr Gibbs</t>
  </si>
  <si>
    <t>Saquon Barkley</t>
  </si>
  <si>
    <t>Derrick Henry</t>
  </si>
  <si>
    <t>Bijan Robinson</t>
  </si>
  <si>
    <t>De'Von Achane</t>
  </si>
  <si>
    <t>Josh Jacobs</t>
  </si>
  <si>
    <t>Rico Dowdle</t>
  </si>
  <si>
    <t>Rachaad White</t>
  </si>
  <si>
    <t>Zach Charbonnet</t>
  </si>
  <si>
    <t>Travis Etienne</t>
  </si>
  <si>
    <t>James Cook</t>
  </si>
  <si>
    <t>James Conner</t>
  </si>
  <si>
    <t>Joe Mixon</t>
  </si>
  <si>
    <t>Mar'Keise Irving</t>
  </si>
  <si>
    <t>Kyren Williams</t>
  </si>
  <si>
    <t>Jonathan Taylor</t>
  </si>
  <si>
    <t>Chase Brown</t>
  </si>
  <si>
    <t>Chuba Hubbard</t>
  </si>
  <si>
    <t>Aaron Jones</t>
  </si>
  <si>
    <t>Breece Hall</t>
  </si>
  <si>
    <t>Cartavious Bigsby</t>
  </si>
  <si>
    <t>Ameer Abdullah</t>
  </si>
  <si>
    <t>David Montgomery</t>
  </si>
  <si>
    <t>D'Andre Swift</t>
  </si>
  <si>
    <t>Tony Pollard</t>
  </si>
  <si>
    <t>J.K. Dobbins</t>
  </si>
  <si>
    <t>Rhamondre Stevenson</t>
  </si>
  <si>
    <t>Jerome Ford</t>
  </si>
  <si>
    <t>Tyler Allgeier</t>
  </si>
  <si>
    <t>Tyjae Spears</t>
  </si>
  <si>
    <t>Kenneth Walker</t>
  </si>
  <si>
    <t>Jordan Mason</t>
  </si>
  <si>
    <t>Najee Harris</t>
  </si>
  <si>
    <t>Tyrone Tracy</t>
  </si>
  <si>
    <t>Brian Robinson</t>
  </si>
  <si>
    <t>Kareem Hunt</t>
  </si>
  <si>
    <t>Zack Moss</t>
  </si>
  <si>
    <t>Gus Edwards</t>
  </si>
  <si>
    <t>Nick Chubb</t>
  </si>
  <si>
    <t>Kenny Gainwell</t>
  </si>
  <si>
    <t>Isiah Pacheco</t>
  </si>
  <si>
    <t>Michael Carter</t>
  </si>
  <si>
    <t>Javonte Williams</t>
  </si>
  <si>
    <t>Austin Ekeler</t>
  </si>
  <si>
    <t>Re'Mahn Davis</t>
  </si>
  <si>
    <t>Justice Hill</t>
  </si>
  <si>
    <t>Isaac Guerendo</t>
  </si>
  <si>
    <t>Samaje Perine</t>
  </si>
  <si>
    <t>Ezekiel Elliott</t>
  </si>
  <si>
    <t>Dare Ogunbowale</t>
  </si>
  <si>
    <t>Audric Estime</t>
  </si>
  <si>
    <t>Trey Benson</t>
  </si>
  <si>
    <t>Hassan Haskins</t>
  </si>
  <si>
    <t>Christopher Rodriguez</t>
  </si>
  <si>
    <t>Sincere McCormick</t>
  </si>
  <si>
    <t>Emanuel Wilson</t>
  </si>
  <si>
    <t>Devin Singletary</t>
  </si>
  <si>
    <t>Braelon Allen</t>
  </si>
  <si>
    <t>Miles Sanders</t>
  </si>
  <si>
    <t>Sean Tucker</t>
  </si>
  <si>
    <t>Raheem Mostert</t>
  </si>
  <si>
    <t>Jeremy McNichols</t>
  </si>
  <si>
    <t>Trey Sermon</t>
  </si>
  <si>
    <t>Dameon Pierce</t>
  </si>
  <si>
    <t>Jamaal Williams</t>
  </si>
  <si>
    <t>D'Ernest Johnson</t>
  </si>
  <si>
    <t>Kendre Miller</t>
  </si>
  <si>
    <t>Michael Burton</t>
  </si>
  <si>
    <t>Ronnie Rivers</t>
  </si>
  <si>
    <t>Connor Heyward</t>
  </si>
  <si>
    <t>Alexander Mattison</t>
  </si>
  <si>
    <t>Jaylen Warren</t>
  </si>
  <si>
    <t>Antonio Gibson</t>
  </si>
  <si>
    <t>Cam Akers</t>
  </si>
  <si>
    <t>Jaleel McLaughlin</t>
  </si>
  <si>
    <t>Ty Johnson</t>
  </si>
  <si>
    <t>Roschon Johnson</t>
  </si>
  <si>
    <t>Kyle Juszczyk</t>
  </si>
  <si>
    <t>Emari Demercado</t>
  </si>
  <si>
    <t>Isaiah Davis</t>
  </si>
  <si>
    <t>Christian McCaffrey</t>
  </si>
  <si>
    <t>Tyler Goodson</t>
  </si>
  <si>
    <t>Christopher Brooks</t>
  </si>
  <si>
    <t>Cordarrelle Patterson</t>
  </si>
  <si>
    <t>Kimani Vidal</t>
  </si>
  <si>
    <t>Blake Corum</t>
  </si>
  <si>
    <t>D'Onta Foreman</t>
  </si>
  <si>
    <t>Patrick Taylor</t>
  </si>
  <si>
    <t>Pierre Strong</t>
  </si>
  <si>
    <t>Khalil Herbert</t>
  </si>
  <si>
    <t>Zamir White</t>
  </si>
  <si>
    <t>Ty Chandler</t>
  </si>
  <si>
    <t>Jaylen Wright</t>
  </si>
  <si>
    <t>JaMycal Hasty</t>
  </si>
  <si>
    <t>Kenny McIntosh</t>
  </si>
  <si>
    <t>Hunter Luepke</t>
  </si>
  <si>
    <t>Alec Ingold</t>
  </si>
  <si>
    <t>Carson Steele</t>
  </si>
  <si>
    <t>Jordan Mims</t>
  </si>
  <si>
    <t>Craig Reynolds</t>
  </si>
  <si>
    <t>Patrick Ricard</t>
  </si>
  <si>
    <t>Will Shipley</t>
  </si>
  <si>
    <t>DeeJay Dallas</t>
  </si>
  <si>
    <t>Julius Chestnut</t>
  </si>
  <si>
    <t>Eric Gray</t>
  </si>
  <si>
    <t>Tony Jones</t>
  </si>
  <si>
    <t>C.J. Ham</t>
  </si>
  <si>
    <t>Deuce Vaughn</t>
  </si>
  <si>
    <t>Jeffery Wilson</t>
  </si>
  <si>
    <t>Clyde Edwards-Helaire</t>
  </si>
  <si>
    <t>Raheem Blackshear</t>
  </si>
  <si>
    <t>Tyler Badie</t>
  </si>
  <si>
    <t>Sione Vaki</t>
  </si>
  <si>
    <t>Keaton Mitchell</t>
  </si>
  <si>
    <t>Jonathon Brooks</t>
  </si>
  <si>
    <t>Mike Boone</t>
  </si>
  <si>
    <t>J.J. Taylor</t>
  </si>
  <si>
    <t>Travis Homer</t>
  </si>
  <si>
    <t>Scott Matlock</t>
  </si>
  <si>
    <t>Jacob Kibodi</t>
  </si>
  <si>
    <t>Jermar Jefferson</t>
  </si>
  <si>
    <t>Dalvin Cook</t>
  </si>
  <si>
    <t>Terrell Jennings</t>
  </si>
  <si>
    <t>Jase McClellan</t>
  </si>
  <si>
    <t>Rasheen Ali</t>
  </si>
  <si>
    <t>Blake Watson</t>
  </si>
  <si>
    <t>MarShawn Lloyd</t>
  </si>
  <si>
    <t>Jonathan Ward</t>
  </si>
  <si>
    <t>Aaron Shampklin</t>
  </si>
  <si>
    <t>Myles Gaskin</t>
  </si>
  <si>
    <t>Cody Schrader</t>
  </si>
  <si>
    <t>George Holani</t>
  </si>
  <si>
    <t>Chris Collier</t>
  </si>
  <si>
    <t>Tyrion Davis-Price</t>
  </si>
  <si>
    <t>Reggie Gilliam</t>
  </si>
  <si>
    <t>Ben VanSumeren</t>
  </si>
  <si>
    <t>Velus Jones</t>
  </si>
  <si>
    <t>Ke'Shawn Vaughn</t>
  </si>
  <si>
    <t>Darrynton Evans</t>
  </si>
  <si>
    <t>British Brooks</t>
  </si>
  <si>
    <t>Joshua Kelley</t>
  </si>
  <si>
    <t>Dylan Laube</t>
  </si>
  <si>
    <t>George Kittle</t>
  </si>
  <si>
    <t>TE</t>
  </si>
  <si>
    <t>Trey McBride</t>
  </si>
  <si>
    <t>Jonnu Smith</t>
  </si>
  <si>
    <t>Brock Bowers</t>
  </si>
  <si>
    <t>Mark Andrews</t>
  </si>
  <si>
    <t>Travis Kelce</t>
  </si>
  <si>
    <t>Zach Ertz</t>
  </si>
  <si>
    <t>Tucker Kraft</t>
  </si>
  <si>
    <t>Pat Freiermuth</t>
  </si>
  <si>
    <t>David Njoku</t>
  </si>
  <si>
    <t>Cade Otton</t>
  </si>
  <si>
    <t>Cole Kmet</t>
  </si>
  <si>
    <t>Noah Gray</t>
  </si>
  <si>
    <t>Sam LaPorta</t>
  </si>
  <si>
    <t>Mike Gesicki</t>
  </si>
  <si>
    <t>Kyle Pitts</t>
  </si>
  <si>
    <t>Isaiah Likely</t>
  </si>
  <si>
    <t>Tyler Conklin</t>
  </si>
  <si>
    <t>Taysom Hill</t>
  </si>
  <si>
    <t>Will Dissly</t>
  </si>
  <si>
    <t>Dallas Goedert</t>
  </si>
  <si>
    <t>Adam Trautman</t>
  </si>
  <si>
    <t>Hunter Henry</t>
  </si>
  <si>
    <t>Juwan Johnson</t>
  </si>
  <si>
    <t>Dalton Schultz</t>
  </si>
  <si>
    <t>Chigoziem Okonkwo</t>
  </si>
  <si>
    <t>Foster Moreau</t>
  </si>
  <si>
    <t>Austin Hooper</t>
  </si>
  <si>
    <t>Noah Fant</t>
  </si>
  <si>
    <t>Dalton Kincaid</t>
  </si>
  <si>
    <t>Jake Ferguson</t>
  </si>
  <si>
    <t>Brenton Strange</t>
  </si>
  <si>
    <t>Jordan Akins</t>
  </si>
  <si>
    <t>Evan Engram</t>
  </si>
  <si>
    <t>T.J. Hockenson</t>
  </si>
  <si>
    <t>AJ Barner</t>
  </si>
  <si>
    <t>Ja'Tavion Sanders</t>
  </si>
  <si>
    <t>Josh Oliver</t>
  </si>
  <si>
    <t>Theo Johnson</t>
  </si>
  <si>
    <t>Colby Parkinson</t>
  </si>
  <si>
    <t>Dawson Knox</t>
  </si>
  <si>
    <t>Grant Calcaterra</t>
  </si>
  <si>
    <t>Josh Whyle</t>
  </si>
  <si>
    <t>Tommy Tremble</t>
  </si>
  <si>
    <t>Luke Schoonmaker</t>
  </si>
  <si>
    <t>Nick Vannett</t>
  </si>
  <si>
    <t>Elijah Higgins</t>
  </si>
  <si>
    <t>Nate Adkins</t>
  </si>
  <si>
    <t>John Mundt</t>
  </si>
  <si>
    <t>Darnell Washington</t>
  </si>
  <si>
    <t>Payne Durham</t>
  </si>
  <si>
    <t>Tanner Hudson</t>
  </si>
  <si>
    <t>Brock Wright</t>
  </si>
  <si>
    <t>Stone Smartt</t>
  </si>
  <si>
    <t>Cade Stover</t>
  </si>
  <si>
    <t>Mo Alie-Cox</t>
  </si>
  <si>
    <t>Drew Sample</t>
  </si>
  <si>
    <t>Michael Mayer</t>
  </si>
  <si>
    <t>Erick All</t>
  </si>
  <si>
    <t>Kylen Granson</t>
  </si>
  <si>
    <t>Lucas Krull</t>
  </si>
  <si>
    <t>Charlie Kolar</t>
  </si>
  <si>
    <t>Tyler Higbee</t>
  </si>
  <si>
    <t>Andrew Ogletree</t>
  </si>
  <si>
    <t>Eric Saubert</t>
  </si>
  <si>
    <t>Jeremy Ruckert</t>
  </si>
  <si>
    <t>Daniel Bellinger</t>
  </si>
  <si>
    <t>Julian Hill</t>
  </si>
  <si>
    <t>Blake Whiteheart</t>
  </si>
  <si>
    <t>Brevyn Spann-Ford</t>
  </si>
  <si>
    <t>Kenny Yeboah</t>
  </si>
  <si>
    <t>Harrison Bryant</t>
  </si>
  <si>
    <t>MyCole Pruitt</t>
  </si>
  <si>
    <t>Luke Farrell</t>
  </si>
  <si>
    <t>Quintin Morris</t>
  </si>
  <si>
    <t>Devin Culp</t>
  </si>
  <si>
    <t>Ben Sinnott</t>
  </si>
  <si>
    <t>Hayden Hurst</t>
  </si>
  <si>
    <t>Chris Manhertz</t>
  </si>
  <si>
    <t>John Bates</t>
  </si>
  <si>
    <t>Durham Smythe</t>
  </si>
  <si>
    <t>Hunter Long</t>
  </si>
  <si>
    <t>Pharaoh Brown</t>
  </si>
  <si>
    <t>Charlie Woerner</t>
  </si>
  <si>
    <t>Luke Musgrave</t>
  </si>
  <si>
    <t>Peyton Hendershot</t>
  </si>
  <si>
    <t>Gerald Everett</t>
  </si>
  <si>
    <t>Tucker Fisk</t>
  </si>
  <si>
    <t>E.J. Jenkins</t>
  </si>
  <si>
    <t>Davis Allen</t>
  </si>
  <si>
    <t>Tip Reiman</t>
  </si>
  <si>
    <t>Ben Sims</t>
  </si>
  <si>
    <t>Greg Dulcich</t>
  </si>
  <si>
    <t>Cam Grandy</t>
  </si>
  <si>
    <t>Will Mallory</t>
  </si>
  <si>
    <t>Dallin Holker</t>
  </si>
  <si>
    <t>Tanner Conner</t>
  </si>
  <si>
    <t>Jaheim Bell</t>
  </si>
  <si>
    <t>Josiah Deguara</t>
  </si>
  <si>
    <t>Shane Zylstra</t>
  </si>
  <si>
    <t>Ian Thomas</t>
  </si>
  <si>
    <t>Jack Stoll</t>
  </si>
  <si>
    <t>Eric Tomlinson</t>
  </si>
  <si>
    <t>Feleipe Franks</t>
  </si>
  <si>
    <t>Brevin Jordan</t>
  </si>
  <si>
    <t>John Samuel Shenker</t>
  </si>
  <si>
    <t>Geoff Swaim</t>
  </si>
  <si>
    <t>Jared Wiley</t>
  </si>
  <si>
    <t>David Martin-Robinson</t>
  </si>
  <si>
    <t>Zach Davidson</t>
  </si>
  <si>
    <t>Ross Dwelley</t>
  </si>
  <si>
    <t>Joe Fortson</t>
  </si>
  <si>
    <t>John FitzPatrick</t>
  </si>
  <si>
    <t>Marcedes Lewis</t>
  </si>
  <si>
    <t>Brian Thomas</t>
  </si>
  <si>
    <t>WR</t>
  </si>
  <si>
    <t>Terry McLaurin</t>
  </si>
  <si>
    <t>Malik Nabers</t>
  </si>
  <si>
    <t>Ja'Marr Chase</t>
  </si>
  <si>
    <t>D.J. Moore</t>
  </si>
  <si>
    <t>A.J. Brown</t>
  </si>
  <si>
    <t>Justin Jefferson</t>
  </si>
  <si>
    <t>Amon-Ra St. Brown</t>
  </si>
  <si>
    <t>DeVonta Smith</t>
  </si>
  <si>
    <t>Davante Adams</t>
  </si>
  <si>
    <t>Calvin Ridley</t>
  </si>
  <si>
    <t>Tee Higgins</t>
  </si>
  <si>
    <t>Mike Evans</t>
  </si>
  <si>
    <t>Jaxon Smith-Njigba</t>
  </si>
  <si>
    <t>Drake London</t>
  </si>
  <si>
    <t>CeeDee Lamb</t>
  </si>
  <si>
    <t>Ladd McConkey</t>
  </si>
  <si>
    <t>Jameson Williams</t>
  </si>
  <si>
    <t>Nico Collins</t>
  </si>
  <si>
    <t>Darnell Mooney</t>
  </si>
  <si>
    <t>Keenan Allen</t>
  </si>
  <si>
    <t>Cooper Kupp</t>
  </si>
  <si>
    <t>Courtland Sutton</t>
  </si>
  <si>
    <t>Jerry Jeudy</t>
  </si>
  <si>
    <t>Jordan Addison</t>
  </si>
  <si>
    <t>Tyreek Hill</t>
  </si>
  <si>
    <t>Zay Flowers</t>
  </si>
  <si>
    <t>Puka Nacua</t>
  </si>
  <si>
    <t>Xavier Worthy</t>
  </si>
  <si>
    <t>Josh Downs</t>
  </si>
  <si>
    <t>Alec Pierce</t>
  </si>
  <si>
    <t>Jalen McMillan</t>
  </si>
  <si>
    <t>Garrett Wilson</t>
  </si>
  <si>
    <t>Jakobi Meyers</t>
  </si>
  <si>
    <t>Jauan Jennings</t>
  </si>
  <si>
    <t>Jayden Reed</t>
  </si>
  <si>
    <t>D.K. Metcalf</t>
  </si>
  <si>
    <t>Rashod Bateman</t>
  </si>
  <si>
    <t>Quentin Johnston</t>
  </si>
  <si>
    <t>Khalil Shakir</t>
  </si>
  <si>
    <t>Deebo Samuel</t>
  </si>
  <si>
    <t>Nathaniel Dell</t>
  </si>
  <si>
    <t>Chris Godwin</t>
  </si>
  <si>
    <t>Marvin Mims</t>
  </si>
  <si>
    <t>Stefon Diggs</t>
  </si>
  <si>
    <t>Ricky Pearsall</t>
  </si>
  <si>
    <t>Diontae Johnson</t>
  </si>
  <si>
    <t>Marvin Harrison</t>
  </si>
  <si>
    <t>George Pickens</t>
  </si>
  <si>
    <t>Jaylen Waddle</t>
  </si>
  <si>
    <t>Nick Westbrook</t>
  </si>
  <si>
    <t>DeAndre Hopkins</t>
  </si>
  <si>
    <t>Rome Odunze</t>
  </si>
  <si>
    <t>Adam Thielen</t>
  </si>
  <si>
    <t>Romeo Doubs</t>
  </si>
  <si>
    <t>Demarcus Robinson</t>
  </si>
  <si>
    <t>Allen Lazard</t>
  </si>
  <si>
    <t>Kayshon Boutte</t>
  </si>
  <si>
    <t>Calvin Austin</t>
  </si>
  <si>
    <t>Elijah Moore</t>
  </si>
  <si>
    <t>Olamide Zaccheaus</t>
  </si>
  <si>
    <t>Jalen Coker</t>
  </si>
  <si>
    <t>Marquez Valdes-Scantling</t>
  </si>
  <si>
    <t>Cedric Tillman</t>
  </si>
  <si>
    <t>Rashid Shaheed</t>
  </si>
  <si>
    <t>Brandin Cooks</t>
  </si>
  <si>
    <t>Rashee Rice</t>
  </si>
  <si>
    <t>Wan'Dale Robinson</t>
  </si>
  <si>
    <t>Michael Pittman</t>
  </si>
  <si>
    <t>Jalen Tolbert</t>
  </si>
  <si>
    <t>Demario Douglas</t>
  </si>
  <si>
    <t>Tre Tucker</t>
  </si>
  <si>
    <t>Amari Cooper</t>
  </si>
  <si>
    <t>Xavier Legette</t>
  </si>
  <si>
    <t>Keon Coleman</t>
  </si>
  <si>
    <t>Dontayvion Wicks</t>
  </si>
  <si>
    <t>Christian Watson</t>
  </si>
  <si>
    <t>Darius Slayton</t>
  </si>
  <si>
    <t>Jalen Nailor</t>
  </si>
  <si>
    <t>KaVontae Turpin</t>
  </si>
  <si>
    <t>Tim Patrick</t>
  </si>
  <si>
    <t>Parker Washington</t>
  </si>
  <si>
    <t>Greg Dortch</t>
  </si>
  <si>
    <t>David Moore</t>
  </si>
  <si>
    <t>Chris Olave</t>
  </si>
  <si>
    <t>Christian Kirk</t>
  </si>
  <si>
    <t>Kendrick Bourne</t>
  </si>
  <si>
    <t>Brandon Aiyuk</t>
  </si>
  <si>
    <t>JuJu Smith-Schuster</t>
  </si>
  <si>
    <t>Gabriel Davis</t>
  </si>
  <si>
    <t>John Metchie</t>
  </si>
  <si>
    <t>Tylan Wallace</t>
  </si>
  <si>
    <t>Ray Ray McCloud</t>
  </si>
  <si>
    <t>Andrei Iosivas</t>
  </si>
  <si>
    <t>Michael Wilson</t>
  </si>
  <si>
    <t>Tyler Lockett</t>
  </si>
  <si>
    <t>Josh Palmer</t>
  </si>
  <si>
    <t>Devaughn Vele</t>
  </si>
  <si>
    <t>Mack Hollins</t>
  </si>
  <si>
    <t>Chatarius Atwell</t>
  </si>
  <si>
    <t>Noah Brown</t>
  </si>
  <si>
    <t>Sterling Shepard</t>
  </si>
  <si>
    <t>Tyler Boyd</t>
  </si>
  <si>
    <t>Troy Franklin</t>
  </si>
  <si>
    <t>Dyami Brown</t>
  </si>
  <si>
    <t>Justin Watson</t>
  </si>
  <si>
    <t>Van Jefferson</t>
  </si>
  <si>
    <t>Lil'Jordan Humphrey</t>
  </si>
  <si>
    <t>Curtis Samuel</t>
  </si>
  <si>
    <t>Tyler Johnson</t>
  </si>
  <si>
    <t>Mike Williams</t>
  </si>
  <si>
    <t>Adonai Mitchell</t>
  </si>
  <si>
    <t>Nelson Agholor</t>
  </si>
  <si>
    <t>Kalif Raymond</t>
  </si>
  <si>
    <t>Malik Washington</t>
  </si>
  <si>
    <t>Jordan Whittington</t>
  </si>
  <si>
    <t>Cedrick Wilson</t>
  </si>
  <si>
    <t>D.J. Turner</t>
  </si>
  <si>
    <t>Derius Davis</t>
  </si>
  <si>
    <t>Jahan Dotson</t>
  </si>
  <si>
    <t>Josh Reynolds</t>
  </si>
  <si>
    <t>Ryan Miller</t>
  </si>
  <si>
    <t>Jalen Brooks</t>
  </si>
  <si>
    <t>Trey Palmer</t>
  </si>
  <si>
    <t>Robert Woods</t>
  </si>
  <si>
    <t>Mecole Hardman</t>
  </si>
  <si>
    <t>Malik Heath</t>
  </si>
  <si>
    <t>Ja'Lynn Polk</t>
  </si>
  <si>
    <t>Dante Pettis</t>
  </si>
  <si>
    <t>Luke McCaffrey</t>
  </si>
  <si>
    <t>Jonathan Mingo</t>
  </si>
  <si>
    <t>Jake Bobo</t>
  </si>
  <si>
    <t>Khadarel Hodge</t>
  </si>
  <si>
    <t>Jerrod Means</t>
  </si>
  <si>
    <t>Jamison Crowder</t>
  </si>
  <si>
    <t>Kevin Austin</t>
  </si>
  <si>
    <t>Bo Melton</t>
  </si>
  <si>
    <t>Trent Sherfield</t>
  </si>
  <si>
    <t>Ashton Dulin</t>
  </si>
  <si>
    <t>Xavier Hutchinson</t>
  </si>
  <si>
    <t>Rakim Jarrett</t>
  </si>
  <si>
    <t>Mason Tipton</t>
  </si>
  <si>
    <t>K.J. Osborn</t>
  </si>
  <si>
    <t>Ainias Smith</t>
  </si>
  <si>
    <t>Devin Duvernay</t>
  </si>
  <si>
    <t>Simi Fehoko</t>
  </si>
  <si>
    <t>Marquise Brown</t>
  </si>
  <si>
    <t>Tyrell Shavers</t>
  </si>
  <si>
    <t>Ryan Flournoy</t>
  </si>
  <si>
    <t>Jermaine Burton</t>
  </si>
  <si>
    <t>Bryce Oliver</t>
  </si>
  <si>
    <t>Zay Jones</t>
  </si>
  <si>
    <t>Johnny Wilson</t>
  </si>
  <si>
    <t>Parris Campbell</t>
  </si>
  <si>
    <t>Tay Martin</t>
  </si>
  <si>
    <t>Xavier Gipson</t>
  </si>
  <si>
    <t>Jalen Reagor</t>
  </si>
  <si>
    <t>D.J. Chark</t>
  </si>
  <si>
    <t>Chris Conley</t>
  </si>
  <si>
    <t>Brandon Powell</t>
  </si>
  <si>
    <t>Jalin Hyatt</t>
  </si>
  <si>
    <t>River Cracraft</t>
  </si>
  <si>
    <t>Michael Woods</t>
  </si>
  <si>
    <t>Odell Beckham Jr.</t>
  </si>
  <si>
    <t>DeAndre Carter</t>
  </si>
  <si>
    <t>Scott Miller</t>
  </si>
  <si>
    <t>Ben Skowronek</t>
  </si>
  <si>
    <t>Kristian Wilkerson</t>
  </si>
  <si>
    <t>Jacob Cowing</t>
  </si>
  <si>
    <t>Devontez Walker</t>
  </si>
  <si>
    <t>Britain Covey</t>
  </si>
  <si>
    <t>Tyquan Thornton</t>
  </si>
  <si>
    <t>D'Wayne Eskridge</t>
  </si>
  <si>
    <t>Nikko Remigio</t>
  </si>
  <si>
    <t>Terrace Marshall</t>
  </si>
  <si>
    <t>Tim Jones</t>
  </si>
  <si>
    <t>Treylon Burks</t>
  </si>
  <si>
    <t>Cody White</t>
  </si>
  <si>
    <t>Dan Chisena</t>
  </si>
  <si>
    <t>Xavier Smith</t>
  </si>
  <si>
    <t>Deven Thompkins</t>
  </si>
  <si>
    <t>Alex Bachman</t>
  </si>
  <si>
    <t>Allen Robinson</t>
  </si>
  <si>
    <t>David Bell</t>
  </si>
  <si>
    <t>Jamari Thrash</t>
  </si>
  <si>
    <t>Malachi Corley</t>
  </si>
  <si>
    <t>Ronnie Bell</t>
  </si>
  <si>
    <t>Austin Trammell</t>
  </si>
  <si>
    <t>Trenton Irwin</t>
  </si>
  <si>
    <t>Anthony Gould</t>
  </si>
  <si>
    <t>Mason Kinsey</t>
  </si>
  <si>
    <t>Chris Blair</t>
  </si>
  <si>
    <t>Isaiah Hodgins</t>
  </si>
  <si>
    <t>Laviska Shenault</t>
  </si>
  <si>
    <t>Grant DuBose</t>
  </si>
  <si>
    <t>Anthony Miller</t>
  </si>
  <si>
    <t>Casey Washington</t>
  </si>
  <si>
    <t>Javon Baker</t>
  </si>
  <si>
    <t>Trent Taylor</t>
  </si>
  <si>
    <t>Isaiah Williams</t>
  </si>
  <si>
    <t>James Proche</t>
  </si>
  <si>
    <t>Brandon Johnson</t>
  </si>
  <si>
    <t>Kendric Pryor</t>
  </si>
  <si>
    <t>Ramel Keyton</t>
  </si>
  <si>
    <t>Kameron Johnson</t>
  </si>
  <si>
    <t>Tyreik McAllister</t>
  </si>
  <si>
    <t>Jaelon Darden</t>
  </si>
  <si>
    <t>Collin Johnson</t>
  </si>
  <si>
    <t>John Ross</t>
  </si>
  <si>
    <t>Robbie Chosen</t>
  </si>
  <si>
    <t>Tyler Scott</t>
  </si>
  <si>
    <t>Brycen Tremayne</t>
  </si>
  <si>
    <t>Jermaine Jackson</t>
  </si>
  <si>
    <t>Charlie Jones</t>
  </si>
  <si>
    <t>Steven Sims</t>
  </si>
  <si>
    <t>Kadarius Toney</t>
  </si>
  <si>
    <t>Jha'Quan Jackson</t>
  </si>
  <si>
    <t>Pos Rank</t>
  </si>
  <si>
    <t>Position</t>
  </si>
  <si>
    <t>Point Cutoff</t>
  </si>
  <si>
    <t>Average PPG</t>
  </si>
  <si>
    <t>Avg. PPG:</t>
  </si>
  <si>
    <t>10+ performances</t>
  </si>
  <si>
    <t>Bowen</t>
  </si>
  <si>
    <t>Clay</t>
  </si>
  <si>
    <t>Cockcroft</t>
  </si>
  <si>
    <t>Dopp</t>
  </si>
  <si>
    <t>Karabell</t>
  </si>
  <si>
    <t>Loza</t>
  </si>
  <si>
    <t>Moody</t>
  </si>
  <si>
    <t>Yates</t>
  </si>
  <si>
    <t>AVG</t>
  </si>
  <si>
    <t>NR</t>
  </si>
  <si>
    <t>Travis Etienne Jr.</t>
  </si>
  <si>
    <t>Kenneth Walker III</t>
  </si>
  <si>
    <t>Brian Robinson Jr.</t>
  </si>
  <si>
    <t>Michael Pittman Jr.</t>
  </si>
  <si>
    <t>Marvin Harrison Jr.</t>
  </si>
  <si>
    <t>DK Metcalf</t>
  </si>
  <si>
    <t>Deebo Samuel Sr.</t>
  </si>
  <si>
    <t>DJ Moore</t>
  </si>
  <si>
    <t>Tank Dell</t>
  </si>
  <si>
    <t>Brian Thomas Jr.</t>
  </si>
  <si>
    <t>Gabe Davis</t>
  </si>
  <si>
    <t>Joshua Palmer</t>
  </si>
  <si>
    <t>Avg. PPG</t>
  </si>
  <si>
    <t xml:space="preserve"> </t>
  </si>
  <si>
    <t>Total Rank</t>
  </si>
  <si>
    <t>PPG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</si>
</sst>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</font>
    <font>
      <sz val="9"/>
      <color rgb="FF000000"/>
      <name val="Arial"/>
    </font>
    <font>
      <sz val="10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3" borderId="0" xfId="0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my\Documents\Projects\fantasy-football-analysis\footballdb%2024-25.xlsx" TargetMode="External"/><Relationship Id="rId1" Type="http://schemas.openxmlformats.org/officeDocument/2006/relationships/externalLinkPath" Target="/Users/sammy/Documents/Projects/fantasy-football-analysis/footballdb%20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1"/>
      <sheetName val="W2"/>
      <sheetName val="W3"/>
      <sheetName val="W4"/>
      <sheetName val="W5"/>
      <sheetName val="W6"/>
      <sheetName val="W7"/>
      <sheetName val="Template"/>
      <sheetName val="W15"/>
      <sheetName val="W16"/>
      <sheetName val="W17"/>
      <sheetName val="W12"/>
      <sheetName val="W13"/>
      <sheetName val="W14"/>
      <sheetName val="W10"/>
      <sheetName val="W11"/>
      <sheetName val="W9"/>
      <sheetName val="W8"/>
      <sheetName val="PlayerPosDB"/>
      <sheetName val="Settings"/>
      <sheetName val="W18"/>
      <sheetName val="Compiled Data"/>
      <sheetName val="Old Line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B2" t="str">
            <v>Lamar Jackson</v>
          </cell>
          <cell r="C2" t="str">
            <v>BAL</v>
          </cell>
          <cell r="D2" t="str">
            <v>QB</v>
          </cell>
        </row>
        <row r="3">
          <cell r="B3" t="str">
            <v>Joe Burrow</v>
          </cell>
          <cell r="C3" t="str">
            <v>CIN</v>
          </cell>
          <cell r="D3" t="str">
            <v>QB</v>
          </cell>
        </row>
        <row r="4">
          <cell r="B4" t="str">
            <v>Baker Mayfield</v>
          </cell>
          <cell r="C4" t="str">
            <v>TB</v>
          </cell>
          <cell r="D4" t="str">
            <v>QB</v>
          </cell>
        </row>
        <row r="5">
          <cell r="B5" t="str">
            <v>Josh Allen</v>
          </cell>
          <cell r="C5" t="str">
            <v>BUF</v>
          </cell>
          <cell r="D5" t="str">
            <v>QB</v>
          </cell>
        </row>
        <row r="6">
          <cell r="B6" t="str">
            <v>Jayden Daniels</v>
          </cell>
          <cell r="C6" t="str">
            <v>WAS</v>
          </cell>
          <cell r="D6" t="str">
            <v>QB</v>
          </cell>
        </row>
        <row r="7">
          <cell r="B7" t="str">
            <v>Jared Goff</v>
          </cell>
          <cell r="C7" t="str">
            <v>DET</v>
          </cell>
          <cell r="D7" t="str">
            <v>QB</v>
          </cell>
        </row>
        <row r="8">
          <cell r="B8" t="str">
            <v>Sam Darnold</v>
          </cell>
          <cell r="C8" t="str">
            <v>MIN</v>
          </cell>
          <cell r="D8" t="str">
            <v>QB</v>
          </cell>
        </row>
        <row r="9">
          <cell r="B9" t="str">
            <v>Bo Nix</v>
          </cell>
          <cell r="C9" t="str">
            <v>DEN</v>
          </cell>
          <cell r="D9" t="str">
            <v>QB</v>
          </cell>
        </row>
        <row r="10">
          <cell r="B10" t="str">
            <v>Jalen Hurts</v>
          </cell>
          <cell r="C10" t="str">
            <v>PHI</v>
          </cell>
          <cell r="D10" t="str">
            <v>QB</v>
          </cell>
        </row>
        <row r="11">
          <cell r="B11" t="str">
            <v>Kyler Murray</v>
          </cell>
          <cell r="C11" t="str">
            <v>ARI</v>
          </cell>
          <cell r="D11" t="str">
            <v>QB</v>
          </cell>
        </row>
        <row r="12">
          <cell r="B12" t="str">
            <v>Justin Herbert</v>
          </cell>
          <cell r="C12" t="str">
            <v>LAC</v>
          </cell>
          <cell r="D12" t="str">
            <v>QB</v>
          </cell>
        </row>
        <row r="13">
          <cell r="B13" t="str">
            <v>Patrick Mahomes</v>
          </cell>
          <cell r="C13" t="str">
            <v>KC</v>
          </cell>
          <cell r="D13" t="str">
            <v>QB</v>
          </cell>
        </row>
        <row r="14">
          <cell r="B14" t="str">
            <v>Aaron Rodgers</v>
          </cell>
          <cell r="C14" t="str">
            <v>NYJ</v>
          </cell>
          <cell r="D14" t="str">
            <v>QB</v>
          </cell>
        </row>
        <row r="15">
          <cell r="B15" t="str">
            <v>Brock Purdy</v>
          </cell>
          <cell r="C15" t="str">
            <v>SF</v>
          </cell>
          <cell r="D15" t="str">
            <v>QB</v>
          </cell>
        </row>
        <row r="16">
          <cell r="B16" t="str">
            <v>Geno Smith</v>
          </cell>
          <cell r="C16" t="str">
            <v>SEA</v>
          </cell>
          <cell r="D16" t="str">
            <v>QB</v>
          </cell>
        </row>
        <row r="17">
          <cell r="B17" t="str">
            <v>Caleb Williams</v>
          </cell>
          <cell r="C17" t="str">
            <v>CHI</v>
          </cell>
          <cell r="D17" t="str">
            <v>QB</v>
          </cell>
        </row>
        <row r="18">
          <cell r="B18" t="str">
            <v>Jordan Love</v>
          </cell>
          <cell r="C18" t="str">
            <v>GB</v>
          </cell>
          <cell r="D18" t="str">
            <v>QB</v>
          </cell>
        </row>
        <row r="19">
          <cell r="B19" t="str">
            <v>C.J. Stroud</v>
          </cell>
          <cell r="C19" t="str">
            <v>HOU</v>
          </cell>
          <cell r="D19" t="str">
            <v>QB</v>
          </cell>
        </row>
        <row r="20">
          <cell r="B20" t="str">
            <v>Matthew Stafford</v>
          </cell>
          <cell r="C20" t="str">
            <v>LA</v>
          </cell>
          <cell r="D20" t="str">
            <v>QB</v>
          </cell>
        </row>
        <row r="21">
          <cell r="B21" t="str">
            <v>Tua Tagovailoa</v>
          </cell>
          <cell r="C21" t="str">
            <v>MIA</v>
          </cell>
          <cell r="D21" t="str">
            <v>QB</v>
          </cell>
        </row>
        <row r="22">
          <cell r="B22" t="str">
            <v>Bryce Young</v>
          </cell>
          <cell r="C22" t="str">
            <v>CAR</v>
          </cell>
          <cell r="D22" t="str">
            <v>QB</v>
          </cell>
        </row>
        <row r="23">
          <cell r="B23" t="str">
            <v>Kirk Cousins</v>
          </cell>
          <cell r="C23" t="str">
            <v>ATL</v>
          </cell>
          <cell r="D23" t="str">
            <v>QB</v>
          </cell>
        </row>
        <row r="24">
          <cell r="B24" t="str">
            <v>Drake Maye</v>
          </cell>
          <cell r="C24" t="str">
            <v>NE</v>
          </cell>
          <cell r="D24" t="str">
            <v>QB</v>
          </cell>
        </row>
        <row r="25">
          <cell r="B25" t="str">
            <v>Russell Wilson</v>
          </cell>
          <cell r="C25" t="str">
            <v>PIT</v>
          </cell>
          <cell r="D25" t="str">
            <v>QB</v>
          </cell>
        </row>
        <row r="26">
          <cell r="B26" t="str">
            <v>Derek Carr</v>
          </cell>
          <cell r="C26" t="str">
            <v>NO</v>
          </cell>
          <cell r="D26" t="str">
            <v>QB</v>
          </cell>
        </row>
        <row r="27">
          <cell r="B27" t="str">
            <v>Anthony Richardson</v>
          </cell>
          <cell r="C27" t="str">
            <v>IND</v>
          </cell>
          <cell r="D27" t="str">
            <v>QB</v>
          </cell>
        </row>
        <row r="28">
          <cell r="B28" t="str">
            <v>Trevor Lawrence</v>
          </cell>
          <cell r="C28" t="str">
            <v>JAX</v>
          </cell>
          <cell r="D28" t="str">
            <v>QB</v>
          </cell>
        </row>
        <row r="29">
          <cell r="B29" t="str">
            <v>Jameis Winston</v>
          </cell>
          <cell r="C29" t="str">
            <v>CLE</v>
          </cell>
          <cell r="D29" t="str">
            <v>QB</v>
          </cell>
        </row>
        <row r="30">
          <cell r="B30" t="str">
            <v>Daniel Jones</v>
          </cell>
          <cell r="C30" t="str">
            <v>MIN</v>
          </cell>
          <cell r="D30" t="str">
            <v>QB</v>
          </cell>
        </row>
        <row r="31">
          <cell r="B31" t="str">
            <v>Will Levis</v>
          </cell>
          <cell r="C31" t="str">
            <v>TEN</v>
          </cell>
          <cell r="D31" t="str">
            <v>QB</v>
          </cell>
        </row>
        <row r="32">
          <cell r="B32" t="str">
            <v>Dak Prescott</v>
          </cell>
          <cell r="C32" t="str">
            <v>DAL</v>
          </cell>
          <cell r="D32" t="str">
            <v>QB</v>
          </cell>
        </row>
        <row r="33">
          <cell r="B33" t="str">
            <v>Cooper Rush</v>
          </cell>
          <cell r="C33" t="str">
            <v>DAL</v>
          </cell>
          <cell r="D33" t="str">
            <v>QB</v>
          </cell>
        </row>
        <row r="34">
          <cell r="B34" t="str">
            <v>Joe Flacco</v>
          </cell>
          <cell r="C34" t="str">
            <v>IND</v>
          </cell>
          <cell r="D34" t="str">
            <v>QB</v>
          </cell>
        </row>
        <row r="35">
          <cell r="B35" t="str">
            <v>Justin Fields</v>
          </cell>
          <cell r="C35" t="str">
            <v>PIT</v>
          </cell>
          <cell r="D35" t="str">
            <v>QB</v>
          </cell>
        </row>
        <row r="36">
          <cell r="B36" t="str">
            <v>Gardner Minshew</v>
          </cell>
          <cell r="C36" t="str">
            <v>LV</v>
          </cell>
          <cell r="D36" t="str">
            <v>QB</v>
          </cell>
        </row>
        <row r="37">
          <cell r="B37" t="str">
            <v>Aidan O'Connell</v>
          </cell>
          <cell r="C37" t="str">
            <v>LV</v>
          </cell>
          <cell r="D37" t="str">
            <v>QB</v>
          </cell>
        </row>
        <row r="38">
          <cell r="B38" t="str">
            <v>Mason Rudolph</v>
          </cell>
          <cell r="C38" t="str">
            <v>TEN</v>
          </cell>
          <cell r="D38" t="str">
            <v>QB</v>
          </cell>
        </row>
        <row r="39">
          <cell r="B39" t="str">
            <v>Mac Jones</v>
          </cell>
          <cell r="C39" t="str">
            <v>JAX</v>
          </cell>
          <cell r="D39" t="str">
            <v>QB</v>
          </cell>
        </row>
        <row r="40">
          <cell r="B40" t="str">
            <v>Drew Lock</v>
          </cell>
          <cell r="C40" t="str">
            <v>NYG</v>
          </cell>
          <cell r="D40" t="str">
            <v>QB</v>
          </cell>
        </row>
        <row r="41">
          <cell r="B41" t="str">
            <v>Deshaun Watson</v>
          </cell>
          <cell r="C41" t="str">
            <v>CLE</v>
          </cell>
          <cell r="D41" t="str">
            <v>QB</v>
          </cell>
        </row>
        <row r="42">
          <cell r="B42" t="str">
            <v>Spencer Rattler</v>
          </cell>
          <cell r="C42" t="str">
            <v>NO</v>
          </cell>
          <cell r="D42" t="str">
            <v>QB</v>
          </cell>
        </row>
        <row r="43">
          <cell r="B43" t="str">
            <v>Andy Dalton</v>
          </cell>
          <cell r="C43" t="str">
            <v>CAR</v>
          </cell>
          <cell r="D43" t="str">
            <v>QB</v>
          </cell>
        </row>
        <row r="44">
          <cell r="B44" t="str">
            <v>Tyler Huntley</v>
          </cell>
          <cell r="C44" t="str">
            <v>MIA</v>
          </cell>
          <cell r="D44" t="str">
            <v>QB</v>
          </cell>
        </row>
        <row r="45">
          <cell r="B45" t="str">
            <v>Malik Willis</v>
          </cell>
          <cell r="C45" t="str">
            <v>GB</v>
          </cell>
          <cell r="D45" t="str">
            <v>QB</v>
          </cell>
        </row>
        <row r="46">
          <cell r="B46" t="str">
            <v>Marcus Mariota</v>
          </cell>
          <cell r="C46" t="str">
            <v>WAS</v>
          </cell>
          <cell r="D46" t="str">
            <v>QB</v>
          </cell>
        </row>
        <row r="47">
          <cell r="B47" t="str">
            <v>Michael Penix</v>
          </cell>
          <cell r="C47" t="str">
            <v>ATL</v>
          </cell>
          <cell r="D47" t="str">
            <v>QB</v>
          </cell>
        </row>
        <row r="48">
          <cell r="B48" t="str">
            <v>Jacoby Brissett</v>
          </cell>
          <cell r="C48" t="str">
            <v>NE</v>
          </cell>
          <cell r="D48" t="str">
            <v>QB</v>
          </cell>
        </row>
        <row r="49">
          <cell r="B49" t="str">
            <v>Tanner McKee</v>
          </cell>
          <cell r="C49" t="str">
            <v>PHI</v>
          </cell>
          <cell r="D49" t="str">
            <v>QB</v>
          </cell>
        </row>
        <row r="50">
          <cell r="B50" t="str">
            <v>Joshua Dobbs</v>
          </cell>
          <cell r="C50" t="str">
            <v>SF</v>
          </cell>
          <cell r="D50" t="str">
            <v>QB</v>
          </cell>
        </row>
        <row r="51">
          <cell r="B51" t="str">
            <v>Kenny Pickett</v>
          </cell>
          <cell r="C51" t="str">
            <v>PHI</v>
          </cell>
          <cell r="D51" t="str">
            <v>QB</v>
          </cell>
        </row>
        <row r="52">
          <cell r="B52" t="str">
            <v>Desmond Ridder</v>
          </cell>
          <cell r="C52" t="str">
            <v>LV</v>
          </cell>
          <cell r="D52" t="str">
            <v>QB</v>
          </cell>
        </row>
        <row r="53">
          <cell r="B53" t="str">
            <v>Tyrod Taylor</v>
          </cell>
          <cell r="C53" t="str">
            <v>NYJ</v>
          </cell>
          <cell r="D53" t="str">
            <v>QB</v>
          </cell>
        </row>
        <row r="54">
          <cell r="B54" t="str">
            <v>Jimmy Garoppolo</v>
          </cell>
          <cell r="C54" t="str">
            <v>LA</v>
          </cell>
          <cell r="D54" t="str">
            <v>QB</v>
          </cell>
        </row>
        <row r="55">
          <cell r="B55" t="str">
            <v>Joe Milton</v>
          </cell>
          <cell r="C55" t="str">
            <v>NE</v>
          </cell>
          <cell r="D55" t="str">
            <v>QB</v>
          </cell>
        </row>
        <row r="56">
          <cell r="B56" t="str">
            <v>Mitchell Trubisky</v>
          </cell>
          <cell r="C56" t="str">
            <v>BUF</v>
          </cell>
          <cell r="D56" t="str">
            <v>QB</v>
          </cell>
        </row>
        <row r="57">
          <cell r="B57" t="str">
            <v>Tim Boyle</v>
          </cell>
          <cell r="C57" t="str">
            <v>NYG</v>
          </cell>
          <cell r="D57" t="str">
            <v>QB</v>
          </cell>
        </row>
        <row r="58">
          <cell r="B58" t="str">
            <v>Tommy DeVito</v>
          </cell>
          <cell r="C58" t="str">
            <v>NYG</v>
          </cell>
          <cell r="D58" t="str">
            <v>QB</v>
          </cell>
        </row>
        <row r="59">
          <cell r="B59" t="str">
            <v>Jake Haener</v>
          </cell>
          <cell r="C59" t="str">
            <v>NO</v>
          </cell>
          <cell r="D59" t="str">
            <v>QB</v>
          </cell>
        </row>
        <row r="60">
          <cell r="B60" t="str">
            <v>Dorian Thompson-Robinson</v>
          </cell>
          <cell r="C60" t="str">
            <v>CLE</v>
          </cell>
          <cell r="D60" t="str">
            <v>QB</v>
          </cell>
        </row>
        <row r="61">
          <cell r="B61" t="str">
            <v>Trey Lance</v>
          </cell>
          <cell r="C61" t="str">
            <v>DAL</v>
          </cell>
          <cell r="D61" t="str">
            <v>QB</v>
          </cell>
        </row>
        <row r="62">
          <cell r="B62" t="str">
            <v>Davis Mills</v>
          </cell>
          <cell r="C62" t="str">
            <v>HOU</v>
          </cell>
          <cell r="D62" t="str">
            <v>QB</v>
          </cell>
        </row>
        <row r="63">
          <cell r="B63" t="str">
            <v>Brandon Allen</v>
          </cell>
          <cell r="C63" t="str">
            <v>SF</v>
          </cell>
          <cell r="D63" t="str">
            <v>QB</v>
          </cell>
        </row>
        <row r="64">
          <cell r="B64" t="str">
            <v>Bailey Zappe</v>
          </cell>
          <cell r="C64" t="str">
            <v>CLE</v>
          </cell>
          <cell r="D64" t="str">
            <v>QB</v>
          </cell>
        </row>
        <row r="65">
          <cell r="B65" t="str">
            <v>Skylar Thompson</v>
          </cell>
          <cell r="C65" t="str">
            <v>MIA</v>
          </cell>
          <cell r="D65" t="str">
            <v>QB</v>
          </cell>
        </row>
        <row r="66">
          <cell r="B66" t="str">
            <v>Carson Wentz</v>
          </cell>
          <cell r="C66" t="str">
            <v>KC</v>
          </cell>
          <cell r="D66" t="str">
            <v>QB</v>
          </cell>
        </row>
        <row r="67">
          <cell r="B67" t="str">
            <v>Taylor Heinicke</v>
          </cell>
          <cell r="C67" t="str">
            <v>LAC</v>
          </cell>
          <cell r="D67" t="str">
            <v>QB</v>
          </cell>
        </row>
        <row r="68">
          <cell r="B68" t="str">
            <v>Hendon Hooker</v>
          </cell>
          <cell r="C68" t="str">
            <v>DET</v>
          </cell>
          <cell r="D68" t="str">
            <v>QB</v>
          </cell>
        </row>
        <row r="69">
          <cell r="B69" t="str">
            <v>Mike White</v>
          </cell>
          <cell r="C69" t="str">
            <v>BUF</v>
          </cell>
          <cell r="D69" t="str">
            <v>QB</v>
          </cell>
        </row>
        <row r="70">
          <cell r="B70" t="str">
            <v>Kyle Allen</v>
          </cell>
          <cell r="C70" t="str">
            <v>PIT</v>
          </cell>
          <cell r="D70" t="str">
            <v>QB</v>
          </cell>
        </row>
        <row r="71">
          <cell r="B71" t="str">
            <v>Tyson Bagent</v>
          </cell>
          <cell r="C71" t="str">
            <v>CHI</v>
          </cell>
          <cell r="D71" t="str">
            <v>QB</v>
          </cell>
        </row>
        <row r="72">
          <cell r="B72" t="str">
            <v>Jake Browning</v>
          </cell>
          <cell r="C72" t="str">
            <v>CIN</v>
          </cell>
          <cell r="D72" t="str">
            <v>QB</v>
          </cell>
        </row>
        <row r="73">
          <cell r="B73" t="str">
            <v>Josh Johnson</v>
          </cell>
          <cell r="C73" t="str">
            <v>BAL</v>
          </cell>
          <cell r="D73" t="str">
            <v>QB</v>
          </cell>
        </row>
        <row r="74">
          <cell r="B74" t="str">
            <v>Nick Mullens</v>
          </cell>
          <cell r="C74" t="str">
            <v>MIN</v>
          </cell>
          <cell r="D74" t="str">
            <v>QB</v>
          </cell>
        </row>
        <row r="75">
          <cell r="B75" t="str">
            <v>Chris Oladokun</v>
          </cell>
          <cell r="C75" t="str">
            <v>KC</v>
          </cell>
          <cell r="D75" t="str">
            <v>QB</v>
          </cell>
        </row>
        <row r="76">
          <cell r="B76" t="str">
            <v>Jarrett Stidham</v>
          </cell>
          <cell r="C76" t="str">
            <v>DEN</v>
          </cell>
          <cell r="D76" t="str">
            <v>QB</v>
          </cell>
        </row>
        <row r="77">
          <cell r="B77" t="str">
            <v>Kyle Trask</v>
          </cell>
          <cell r="C77" t="str">
            <v>TB</v>
          </cell>
          <cell r="D77" t="str">
            <v>QB</v>
          </cell>
        </row>
        <row r="78">
          <cell r="B78" t="str">
            <v>Clayton Tune</v>
          </cell>
          <cell r="C78" t="str">
            <v>ARI</v>
          </cell>
          <cell r="D78" t="str">
            <v>QB</v>
          </cell>
        </row>
        <row r="79">
          <cell r="B79" t="str">
            <v>Sam Howell</v>
          </cell>
          <cell r="C79" t="str">
            <v>SEA</v>
          </cell>
          <cell r="D79" t="str">
            <v>QB</v>
          </cell>
        </row>
        <row r="80">
          <cell r="B80" t="str">
            <v>Saquon Barkley</v>
          </cell>
          <cell r="C80" t="str">
            <v>PHI</v>
          </cell>
          <cell r="D80" t="str">
            <v>RB</v>
          </cell>
        </row>
        <row r="81">
          <cell r="B81" t="str">
            <v>Derrick Henry</v>
          </cell>
          <cell r="C81" t="str">
            <v>BAL</v>
          </cell>
          <cell r="D81" t="str">
            <v>RB</v>
          </cell>
        </row>
        <row r="82">
          <cell r="B82" t="str">
            <v>Jahmyr Gibbs</v>
          </cell>
          <cell r="C82" t="str">
            <v>DET</v>
          </cell>
          <cell r="D82" t="str">
            <v>RB</v>
          </cell>
        </row>
        <row r="83">
          <cell r="B83" t="str">
            <v>Bijan Robinson</v>
          </cell>
          <cell r="C83" t="str">
            <v>ATL</v>
          </cell>
          <cell r="D83" t="str">
            <v>RB</v>
          </cell>
        </row>
        <row r="84">
          <cell r="B84" t="str">
            <v>Josh Jacobs</v>
          </cell>
          <cell r="C84" t="str">
            <v>GB</v>
          </cell>
          <cell r="D84" t="str">
            <v>RB</v>
          </cell>
        </row>
        <row r="85">
          <cell r="B85" t="str">
            <v>Kyren Williams</v>
          </cell>
          <cell r="C85" t="str">
            <v>LA</v>
          </cell>
          <cell r="D85" t="str">
            <v>RB</v>
          </cell>
        </row>
        <row r="86">
          <cell r="B86" t="str">
            <v>James Cook</v>
          </cell>
          <cell r="C86" t="str">
            <v>BUF</v>
          </cell>
          <cell r="D86" t="str">
            <v>RB</v>
          </cell>
        </row>
        <row r="87">
          <cell r="B87" t="str">
            <v>Jonathan Taylor</v>
          </cell>
          <cell r="C87" t="str">
            <v>IND</v>
          </cell>
          <cell r="D87" t="str">
            <v>RB</v>
          </cell>
        </row>
        <row r="88">
          <cell r="B88" t="str">
            <v>De'Von Achane</v>
          </cell>
          <cell r="C88" t="str">
            <v>MIA</v>
          </cell>
          <cell r="D88" t="str">
            <v>RB</v>
          </cell>
        </row>
        <row r="89">
          <cell r="B89" t="str">
            <v>James Conner</v>
          </cell>
          <cell r="C89" t="str">
            <v>ARI</v>
          </cell>
          <cell r="D89" t="str">
            <v>RB</v>
          </cell>
        </row>
        <row r="90">
          <cell r="B90" t="str">
            <v>Chuba Hubbard</v>
          </cell>
          <cell r="C90" t="str">
            <v>CAR</v>
          </cell>
          <cell r="D90" t="str">
            <v>RB</v>
          </cell>
        </row>
        <row r="91">
          <cell r="B91" t="str">
            <v>Joe Mixon</v>
          </cell>
          <cell r="C91" t="str">
            <v>HOU</v>
          </cell>
          <cell r="D91" t="str">
            <v>RB</v>
          </cell>
        </row>
        <row r="92">
          <cell r="B92" t="str">
            <v>Chase Brown</v>
          </cell>
          <cell r="C92" t="str">
            <v>CIN</v>
          </cell>
          <cell r="D92" t="str">
            <v>RB</v>
          </cell>
        </row>
        <row r="93">
          <cell r="B93" t="str">
            <v>Mar'Keise Irving</v>
          </cell>
          <cell r="C93" t="str">
            <v>TB</v>
          </cell>
          <cell r="D93" t="str">
            <v>RB</v>
          </cell>
        </row>
        <row r="94">
          <cell r="B94" t="str">
            <v>Alvin Kamara</v>
          </cell>
          <cell r="C94" t="str">
            <v>NO</v>
          </cell>
          <cell r="D94" t="str">
            <v>RB</v>
          </cell>
        </row>
        <row r="95">
          <cell r="B95" t="str">
            <v>David Montgomery</v>
          </cell>
          <cell r="C95" t="str">
            <v>DET</v>
          </cell>
          <cell r="D95" t="str">
            <v>RB</v>
          </cell>
        </row>
        <row r="96">
          <cell r="B96" t="str">
            <v>Aaron Jones</v>
          </cell>
          <cell r="C96" t="str">
            <v>MIN</v>
          </cell>
          <cell r="D96" t="str">
            <v>RB</v>
          </cell>
        </row>
        <row r="97">
          <cell r="B97" t="str">
            <v>Breece Hall</v>
          </cell>
          <cell r="C97" t="str">
            <v>NYJ</v>
          </cell>
          <cell r="D97" t="str">
            <v>RB</v>
          </cell>
        </row>
        <row r="98">
          <cell r="B98" t="str">
            <v>D'Andre Swift</v>
          </cell>
          <cell r="C98" t="str">
            <v>CHI</v>
          </cell>
          <cell r="D98" t="str">
            <v>RB</v>
          </cell>
        </row>
        <row r="99">
          <cell r="B99" t="str">
            <v>Najee Harris</v>
          </cell>
          <cell r="C99" t="str">
            <v>PIT</v>
          </cell>
          <cell r="D99" t="str">
            <v>RB</v>
          </cell>
        </row>
        <row r="100">
          <cell r="B100" t="str">
            <v>J.K. Dobbins</v>
          </cell>
          <cell r="C100" t="str">
            <v>LAC</v>
          </cell>
          <cell r="D100" t="str">
            <v>RB</v>
          </cell>
        </row>
        <row r="101">
          <cell r="B101" t="str">
            <v>Tony Pollard</v>
          </cell>
          <cell r="C101" t="str">
            <v>TEN</v>
          </cell>
          <cell r="D101" t="str">
            <v>RB</v>
          </cell>
        </row>
        <row r="102">
          <cell r="B102" t="str">
            <v>Rico Dowdle</v>
          </cell>
          <cell r="C102" t="str">
            <v>DAL</v>
          </cell>
          <cell r="D102" t="str">
            <v>RB</v>
          </cell>
        </row>
        <row r="103">
          <cell r="B103" t="str">
            <v>Rachaad White</v>
          </cell>
          <cell r="C103" t="str">
            <v>TB</v>
          </cell>
          <cell r="D103" t="str">
            <v>RB</v>
          </cell>
        </row>
        <row r="104">
          <cell r="B104" t="str">
            <v>Rhamondre Stevenson</v>
          </cell>
          <cell r="C104" t="str">
            <v>NE</v>
          </cell>
          <cell r="D104" t="str">
            <v>RB</v>
          </cell>
        </row>
        <row r="105">
          <cell r="B105" t="str">
            <v>Brian Robinson</v>
          </cell>
          <cell r="C105" t="str">
            <v>WAS</v>
          </cell>
          <cell r="D105" t="str">
            <v>RB</v>
          </cell>
        </row>
        <row r="106">
          <cell r="B106" t="str">
            <v>Zach Charbonnet</v>
          </cell>
          <cell r="C106" t="str">
            <v>SEA</v>
          </cell>
          <cell r="D106" t="str">
            <v>RB</v>
          </cell>
        </row>
        <row r="107">
          <cell r="B107" t="str">
            <v>Tyrone Tracy</v>
          </cell>
          <cell r="C107" t="str">
            <v>NYG</v>
          </cell>
          <cell r="D107" t="str">
            <v>RB</v>
          </cell>
        </row>
        <row r="108">
          <cell r="B108" t="str">
            <v>Kenneth Walker</v>
          </cell>
          <cell r="C108" t="str">
            <v>SEA</v>
          </cell>
          <cell r="D108" t="str">
            <v>RB</v>
          </cell>
        </row>
        <row r="109">
          <cell r="B109" t="str">
            <v>Kareem Hunt</v>
          </cell>
          <cell r="C109" t="str">
            <v>KC</v>
          </cell>
          <cell r="D109" t="str">
            <v>RB</v>
          </cell>
        </row>
        <row r="110">
          <cell r="B110" t="str">
            <v>Cartavious Bigsby</v>
          </cell>
          <cell r="C110" t="str">
            <v>JAX</v>
          </cell>
          <cell r="D110" t="str">
            <v>RB</v>
          </cell>
        </row>
        <row r="111">
          <cell r="B111" t="str">
            <v>Jordan Mason</v>
          </cell>
          <cell r="C111" t="str">
            <v>SF</v>
          </cell>
          <cell r="D111" t="str">
            <v>RB</v>
          </cell>
        </row>
        <row r="112">
          <cell r="B112" t="str">
            <v>Javonte Williams</v>
          </cell>
          <cell r="C112" t="str">
            <v>DEN</v>
          </cell>
          <cell r="D112" t="str">
            <v>RB</v>
          </cell>
        </row>
        <row r="113">
          <cell r="B113" t="str">
            <v>Alexander Mattison</v>
          </cell>
          <cell r="C113" t="str">
            <v>LV</v>
          </cell>
          <cell r="D113" t="str">
            <v>RB</v>
          </cell>
        </row>
        <row r="114">
          <cell r="B114" t="str">
            <v>Re'Mahn Davis</v>
          </cell>
          <cell r="C114" t="str">
            <v>BUF</v>
          </cell>
          <cell r="D114" t="str">
            <v>RB</v>
          </cell>
        </row>
        <row r="115">
          <cell r="B115" t="str">
            <v>Austin Ekeler</v>
          </cell>
          <cell r="C115" t="str">
            <v>WAS</v>
          </cell>
          <cell r="D115" t="str">
            <v>RB</v>
          </cell>
        </row>
        <row r="116">
          <cell r="B116" t="str">
            <v>Jerome Ford</v>
          </cell>
          <cell r="C116" t="str">
            <v>CLE</v>
          </cell>
          <cell r="D116" t="str">
            <v>RB</v>
          </cell>
        </row>
        <row r="117">
          <cell r="B117" t="str">
            <v>Tyler Allgeier</v>
          </cell>
          <cell r="C117" t="str">
            <v>ATL</v>
          </cell>
          <cell r="D117" t="str">
            <v>RB</v>
          </cell>
        </row>
        <row r="118">
          <cell r="B118" t="str">
            <v>Travis Etienne</v>
          </cell>
          <cell r="C118" t="str">
            <v>JAX</v>
          </cell>
          <cell r="D118" t="str">
            <v>RB</v>
          </cell>
        </row>
        <row r="119">
          <cell r="B119" t="str">
            <v>Emanuel Wilson</v>
          </cell>
          <cell r="C119" t="str">
            <v>GB</v>
          </cell>
          <cell r="D119" t="str">
            <v>RB</v>
          </cell>
        </row>
        <row r="120">
          <cell r="B120" t="str">
            <v>Ameer Abdullah</v>
          </cell>
          <cell r="C120" t="str">
            <v>LV</v>
          </cell>
          <cell r="D120" t="str">
            <v>RB</v>
          </cell>
        </row>
        <row r="121">
          <cell r="B121" t="str">
            <v>Justice Hill</v>
          </cell>
          <cell r="C121" t="str">
            <v>BAL</v>
          </cell>
          <cell r="D121" t="str">
            <v>RB</v>
          </cell>
        </row>
        <row r="122">
          <cell r="B122" t="str">
            <v>Tyjae Spears</v>
          </cell>
          <cell r="C122" t="str">
            <v>TEN</v>
          </cell>
          <cell r="D122" t="str">
            <v>RB</v>
          </cell>
        </row>
        <row r="123">
          <cell r="B123" t="str">
            <v>Jaylen Warren</v>
          </cell>
          <cell r="C123" t="str">
            <v>PIT</v>
          </cell>
          <cell r="D123" t="str">
            <v>RB</v>
          </cell>
        </row>
        <row r="124">
          <cell r="B124" t="str">
            <v>Isaac Guerendo</v>
          </cell>
          <cell r="C124" t="str">
            <v>SF</v>
          </cell>
          <cell r="D124" t="str">
            <v>RB</v>
          </cell>
        </row>
        <row r="125">
          <cell r="B125" t="str">
            <v>Cam Akers</v>
          </cell>
          <cell r="C125" t="str">
            <v>MIN</v>
          </cell>
          <cell r="D125" t="str">
            <v>RB</v>
          </cell>
        </row>
        <row r="126">
          <cell r="B126" t="str">
            <v>Devin Singletary</v>
          </cell>
          <cell r="C126" t="str">
            <v>NYG</v>
          </cell>
          <cell r="D126" t="str">
            <v>RB</v>
          </cell>
        </row>
        <row r="127">
          <cell r="B127" t="str">
            <v>Antonio Gibson</v>
          </cell>
          <cell r="C127" t="str">
            <v>NE</v>
          </cell>
          <cell r="D127" t="str">
            <v>RB</v>
          </cell>
        </row>
        <row r="128">
          <cell r="B128" t="str">
            <v>Ty Johnson</v>
          </cell>
          <cell r="C128" t="str">
            <v>BUF</v>
          </cell>
          <cell r="D128" t="str">
            <v>RB</v>
          </cell>
        </row>
        <row r="129">
          <cell r="B129" t="str">
            <v>Jaleel McLaughlin</v>
          </cell>
          <cell r="C129" t="str">
            <v>DEN</v>
          </cell>
          <cell r="D129" t="str">
            <v>RB</v>
          </cell>
        </row>
        <row r="130">
          <cell r="B130" t="str">
            <v>Nick Chubb</v>
          </cell>
          <cell r="C130" t="str">
            <v>CLE</v>
          </cell>
          <cell r="D130" t="str">
            <v>RB</v>
          </cell>
        </row>
        <row r="131">
          <cell r="B131" t="str">
            <v>Gus Edwards</v>
          </cell>
          <cell r="C131" t="str">
            <v>LAC</v>
          </cell>
          <cell r="D131" t="str">
            <v>RB</v>
          </cell>
        </row>
        <row r="132">
          <cell r="B132" t="str">
            <v>Roschon Johnson</v>
          </cell>
          <cell r="C132" t="str">
            <v>CHI</v>
          </cell>
          <cell r="D132" t="str">
            <v>RB</v>
          </cell>
        </row>
        <row r="133">
          <cell r="B133" t="str">
            <v>Braelon Allen</v>
          </cell>
          <cell r="C133" t="str">
            <v>NYJ</v>
          </cell>
          <cell r="D133" t="str">
            <v>RB</v>
          </cell>
        </row>
        <row r="134">
          <cell r="B134" t="str">
            <v>Zack Moss</v>
          </cell>
          <cell r="C134" t="str">
            <v>CIN</v>
          </cell>
          <cell r="D134" t="str">
            <v>RB</v>
          </cell>
        </row>
        <row r="135">
          <cell r="B135" t="str">
            <v>Sean Tucker</v>
          </cell>
          <cell r="C135" t="str">
            <v>TB</v>
          </cell>
          <cell r="D135" t="str">
            <v>RB</v>
          </cell>
        </row>
        <row r="136">
          <cell r="B136" t="str">
            <v>Jeremy McNichols</v>
          </cell>
          <cell r="C136" t="str">
            <v>WAS</v>
          </cell>
          <cell r="D136" t="str">
            <v>RB</v>
          </cell>
        </row>
        <row r="137">
          <cell r="B137" t="str">
            <v>Miles Sanders</v>
          </cell>
          <cell r="C137" t="str">
            <v>CAR</v>
          </cell>
          <cell r="D137" t="str">
            <v>RB</v>
          </cell>
        </row>
        <row r="138">
          <cell r="B138" t="str">
            <v>Raheem Mostert</v>
          </cell>
          <cell r="C138" t="str">
            <v>MIA</v>
          </cell>
          <cell r="D138" t="str">
            <v>RB</v>
          </cell>
        </row>
        <row r="139">
          <cell r="B139" t="str">
            <v>Samaje Perine</v>
          </cell>
          <cell r="C139" t="str">
            <v>KC</v>
          </cell>
          <cell r="D139" t="str">
            <v>RB</v>
          </cell>
        </row>
        <row r="140">
          <cell r="B140" t="str">
            <v>Isiah Pacheco</v>
          </cell>
          <cell r="C140" t="str">
            <v>KC</v>
          </cell>
          <cell r="D140" t="str">
            <v>RB</v>
          </cell>
        </row>
        <row r="141">
          <cell r="B141" t="str">
            <v>Dameon Pierce</v>
          </cell>
          <cell r="C141" t="str">
            <v>HOU</v>
          </cell>
          <cell r="D141" t="str">
            <v>RB</v>
          </cell>
        </row>
        <row r="142">
          <cell r="B142" t="str">
            <v>Audric Estime</v>
          </cell>
          <cell r="C142" t="str">
            <v>DEN</v>
          </cell>
          <cell r="D142" t="str">
            <v>RB</v>
          </cell>
        </row>
        <row r="143">
          <cell r="B143" t="str">
            <v>Ezekiel Elliott</v>
          </cell>
          <cell r="C143" t="str">
            <v>LAC</v>
          </cell>
          <cell r="D143" t="str">
            <v>RB</v>
          </cell>
        </row>
        <row r="144">
          <cell r="B144" t="str">
            <v>Kenny Gainwell</v>
          </cell>
          <cell r="C144" t="str">
            <v>PHI</v>
          </cell>
          <cell r="D144" t="str">
            <v>RB</v>
          </cell>
        </row>
        <row r="145">
          <cell r="B145" t="str">
            <v>Trey Benson</v>
          </cell>
          <cell r="C145" t="str">
            <v>ARI</v>
          </cell>
          <cell r="D145" t="str">
            <v>RB</v>
          </cell>
        </row>
        <row r="146">
          <cell r="B146" t="str">
            <v>Kyle Juszczyk</v>
          </cell>
          <cell r="C146" t="str">
            <v>SF</v>
          </cell>
          <cell r="D146" t="str">
            <v>RB</v>
          </cell>
        </row>
        <row r="147">
          <cell r="B147" t="str">
            <v>Isaiah Davis</v>
          </cell>
          <cell r="C147" t="str">
            <v>NYJ</v>
          </cell>
          <cell r="D147" t="str">
            <v>RB</v>
          </cell>
        </row>
        <row r="148">
          <cell r="B148" t="str">
            <v>Emari Demercado</v>
          </cell>
          <cell r="C148" t="str">
            <v>ARI</v>
          </cell>
          <cell r="D148" t="str">
            <v>RB</v>
          </cell>
        </row>
        <row r="149">
          <cell r="B149" t="str">
            <v>Tyler Goodson</v>
          </cell>
          <cell r="C149" t="str">
            <v>IND</v>
          </cell>
          <cell r="D149" t="str">
            <v>RB</v>
          </cell>
        </row>
        <row r="150">
          <cell r="B150" t="str">
            <v>Dare Ogunbowale</v>
          </cell>
          <cell r="C150" t="str">
            <v>HOU</v>
          </cell>
          <cell r="D150" t="str">
            <v>RB</v>
          </cell>
        </row>
        <row r="151">
          <cell r="B151" t="str">
            <v>Christian McCaffrey</v>
          </cell>
          <cell r="C151" t="str">
            <v>SF</v>
          </cell>
          <cell r="D151" t="str">
            <v>RB</v>
          </cell>
        </row>
        <row r="152">
          <cell r="B152" t="str">
            <v>Hassan Haskins</v>
          </cell>
          <cell r="C152" t="str">
            <v>LAC</v>
          </cell>
          <cell r="D152" t="str">
            <v>RB</v>
          </cell>
        </row>
        <row r="153">
          <cell r="B153" t="str">
            <v>Christopher Rodriguez</v>
          </cell>
          <cell r="C153" t="str">
            <v>WAS</v>
          </cell>
          <cell r="D153" t="str">
            <v>RB</v>
          </cell>
        </row>
        <row r="154">
          <cell r="B154" t="str">
            <v>Trey Sermon</v>
          </cell>
          <cell r="C154" t="str">
            <v>IND</v>
          </cell>
          <cell r="D154" t="str">
            <v>RB</v>
          </cell>
        </row>
        <row r="155">
          <cell r="B155" t="str">
            <v>Christopher Brooks</v>
          </cell>
          <cell r="C155" t="str">
            <v>GB</v>
          </cell>
          <cell r="D155" t="str">
            <v>RB</v>
          </cell>
        </row>
        <row r="156">
          <cell r="B156" t="str">
            <v>Michael Carter</v>
          </cell>
          <cell r="C156" t="str">
            <v>ARI</v>
          </cell>
          <cell r="D156" t="str">
            <v>RB</v>
          </cell>
        </row>
        <row r="157">
          <cell r="B157" t="str">
            <v>Patrick Taylor</v>
          </cell>
          <cell r="C157" t="str">
            <v>SF</v>
          </cell>
          <cell r="D157" t="str">
            <v>RB</v>
          </cell>
        </row>
        <row r="158">
          <cell r="B158" t="str">
            <v>Kimani Vidal</v>
          </cell>
          <cell r="C158" t="str">
            <v>LAC</v>
          </cell>
          <cell r="D158" t="str">
            <v>RB</v>
          </cell>
        </row>
        <row r="159">
          <cell r="B159" t="str">
            <v>Zamir White</v>
          </cell>
          <cell r="C159" t="str">
            <v>LV</v>
          </cell>
          <cell r="D159" t="str">
            <v>RB</v>
          </cell>
        </row>
        <row r="160">
          <cell r="B160" t="str">
            <v>Cordarrelle Patterson</v>
          </cell>
          <cell r="C160" t="str">
            <v>PIT</v>
          </cell>
          <cell r="D160" t="str">
            <v>RB</v>
          </cell>
        </row>
        <row r="161">
          <cell r="B161" t="str">
            <v>D'Onta Foreman</v>
          </cell>
          <cell r="C161" t="str">
            <v>CLE</v>
          </cell>
          <cell r="D161" t="str">
            <v>RB</v>
          </cell>
        </row>
        <row r="162">
          <cell r="B162" t="str">
            <v>Kendre Miller</v>
          </cell>
          <cell r="C162" t="str">
            <v>NO</v>
          </cell>
          <cell r="D162" t="str">
            <v>RB</v>
          </cell>
        </row>
        <row r="163">
          <cell r="B163" t="str">
            <v>Jamaal Williams</v>
          </cell>
          <cell r="C163" t="str">
            <v>NO</v>
          </cell>
          <cell r="D163" t="str">
            <v>RB</v>
          </cell>
        </row>
        <row r="164">
          <cell r="B164" t="str">
            <v>Blake Corum</v>
          </cell>
          <cell r="C164" t="str">
            <v>LA</v>
          </cell>
          <cell r="D164" t="str">
            <v>RB</v>
          </cell>
        </row>
        <row r="165">
          <cell r="B165" t="str">
            <v>Sincere McCormick</v>
          </cell>
          <cell r="C165" t="str">
            <v>LV</v>
          </cell>
          <cell r="D165" t="str">
            <v>RB</v>
          </cell>
        </row>
        <row r="166">
          <cell r="B166" t="str">
            <v>Jaylen Wright</v>
          </cell>
          <cell r="C166" t="str">
            <v>MIA</v>
          </cell>
          <cell r="D166" t="str">
            <v>RB</v>
          </cell>
        </row>
        <row r="167">
          <cell r="B167" t="str">
            <v>D'Ernest Johnson</v>
          </cell>
          <cell r="C167" t="str">
            <v>JAX</v>
          </cell>
          <cell r="D167" t="str">
            <v>RB</v>
          </cell>
        </row>
        <row r="168">
          <cell r="B168" t="str">
            <v>Ty Chandler</v>
          </cell>
          <cell r="C168" t="str">
            <v>MIN</v>
          </cell>
          <cell r="D168" t="str">
            <v>RB</v>
          </cell>
        </row>
        <row r="169">
          <cell r="B169" t="str">
            <v>Khalil Herbert</v>
          </cell>
          <cell r="C169" t="str">
            <v>CIN</v>
          </cell>
          <cell r="D169" t="str">
            <v>RB</v>
          </cell>
        </row>
        <row r="170">
          <cell r="B170" t="str">
            <v>Michael Burton</v>
          </cell>
          <cell r="C170" t="str">
            <v>DEN</v>
          </cell>
          <cell r="D170" t="str">
            <v>RB</v>
          </cell>
        </row>
        <row r="171">
          <cell r="B171" t="str">
            <v>JaMycal Hasty</v>
          </cell>
          <cell r="C171" t="str">
            <v>NE</v>
          </cell>
          <cell r="D171" t="str">
            <v>RB</v>
          </cell>
        </row>
        <row r="172">
          <cell r="B172" t="str">
            <v>Pierre Strong</v>
          </cell>
          <cell r="C172" t="str">
            <v>CLE</v>
          </cell>
          <cell r="D172" t="str">
            <v>RB</v>
          </cell>
        </row>
        <row r="173">
          <cell r="B173" t="str">
            <v>Kenny McIntosh</v>
          </cell>
          <cell r="C173" t="str">
            <v>SEA</v>
          </cell>
          <cell r="D173" t="str">
            <v>RB</v>
          </cell>
        </row>
        <row r="174">
          <cell r="B174" t="str">
            <v>Craig Reynolds</v>
          </cell>
          <cell r="C174" t="str">
            <v>DET</v>
          </cell>
          <cell r="D174" t="str">
            <v>RB</v>
          </cell>
        </row>
        <row r="175">
          <cell r="B175" t="str">
            <v>Patrick Ricard</v>
          </cell>
          <cell r="C175" t="str">
            <v>BAL</v>
          </cell>
          <cell r="D175" t="str">
            <v>RB</v>
          </cell>
        </row>
        <row r="176">
          <cell r="B176" t="str">
            <v>Alec Ingold</v>
          </cell>
          <cell r="C176" t="str">
            <v>MIA</v>
          </cell>
          <cell r="D176" t="str">
            <v>RB</v>
          </cell>
        </row>
        <row r="177">
          <cell r="B177" t="str">
            <v>Tony Jones</v>
          </cell>
          <cell r="C177" t="str">
            <v>ARI</v>
          </cell>
          <cell r="D177" t="str">
            <v>RB</v>
          </cell>
        </row>
        <row r="178">
          <cell r="B178" t="str">
            <v>Carson Steele</v>
          </cell>
          <cell r="C178" t="str">
            <v>KC</v>
          </cell>
          <cell r="D178" t="str">
            <v>RB</v>
          </cell>
        </row>
        <row r="179">
          <cell r="B179" t="str">
            <v>DeeJay Dallas</v>
          </cell>
          <cell r="C179" t="str">
            <v>ARI</v>
          </cell>
          <cell r="D179" t="str">
            <v>RB</v>
          </cell>
        </row>
        <row r="180">
          <cell r="B180" t="str">
            <v>Jordan Mims</v>
          </cell>
          <cell r="C180" t="str">
            <v>NO</v>
          </cell>
          <cell r="D180" t="str">
            <v>RB</v>
          </cell>
        </row>
        <row r="181">
          <cell r="B181" t="str">
            <v>Ronnie Rivers</v>
          </cell>
          <cell r="C181" t="str">
            <v>LA</v>
          </cell>
          <cell r="D181" t="str">
            <v>RB</v>
          </cell>
        </row>
        <row r="182">
          <cell r="B182" t="str">
            <v>Will Shipley</v>
          </cell>
          <cell r="C182" t="str">
            <v>PHI</v>
          </cell>
          <cell r="D182" t="str">
            <v>RB</v>
          </cell>
        </row>
        <row r="183">
          <cell r="B183" t="str">
            <v>Hunter Luepke</v>
          </cell>
          <cell r="C183" t="str">
            <v>DAL</v>
          </cell>
          <cell r="D183" t="str">
            <v>RB</v>
          </cell>
        </row>
        <row r="184">
          <cell r="B184" t="str">
            <v>Julius Chestnut</v>
          </cell>
          <cell r="C184" t="str">
            <v>TEN</v>
          </cell>
          <cell r="D184" t="str">
            <v>RB</v>
          </cell>
        </row>
        <row r="185">
          <cell r="B185" t="str">
            <v>C.J. Ham</v>
          </cell>
          <cell r="C185" t="str">
            <v>MIN</v>
          </cell>
          <cell r="D185" t="str">
            <v>RB</v>
          </cell>
        </row>
        <row r="186">
          <cell r="B186" t="str">
            <v>Connor Heyward</v>
          </cell>
          <cell r="C186" t="str">
            <v>PIT</v>
          </cell>
          <cell r="D186" t="str">
            <v>RB</v>
          </cell>
        </row>
        <row r="187">
          <cell r="B187" t="str">
            <v>Tyler Badie</v>
          </cell>
          <cell r="C187" t="str">
            <v>DEN</v>
          </cell>
          <cell r="D187" t="str">
            <v>RB</v>
          </cell>
        </row>
        <row r="188">
          <cell r="B188" t="str">
            <v>Raheem Blackshear</v>
          </cell>
          <cell r="C188" t="str">
            <v>CAR</v>
          </cell>
          <cell r="D188" t="str">
            <v>RB</v>
          </cell>
        </row>
        <row r="189">
          <cell r="B189" t="str">
            <v>Clyde Edwards-Helaire</v>
          </cell>
          <cell r="C189" t="str">
            <v>NO</v>
          </cell>
          <cell r="D189" t="str">
            <v>RB</v>
          </cell>
        </row>
        <row r="190">
          <cell r="B190" t="str">
            <v>Keaton Mitchell</v>
          </cell>
          <cell r="C190" t="str">
            <v>BAL</v>
          </cell>
          <cell r="D190" t="str">
            <v>RB</v>
          </cell>
        </row>
        <row r="191">
          <cell r="B191" t="str">
            <v>Deuce Vaughn</v>
          </cell>
          <cell r="C191" t="str">
            <v>DAL</v>
          </cell>
          <cell r="D191" t="str">
            <v>RB</v>
          </cell>
        </row>
        <row r="192">
          <cell r="B192" t="str">
            <v>Jeffery Wilson</v>
          </cell>
          <cell r="C192" t="str">
            <v>MIA</v>
          </cell>
          <cell r="D192" t="str">
            <v>RB</v>
          </cell>
        </row>
        <row r="193">
          <cell r="B193" t="str">
            <v>Eric Gray</v>
          </cell>
          <cell r="C193" t="str">
            <v>NYG</v>
          </cell>
          <cell r="D193" t="str">
            <v>RB</v>
          </cell>
        </row>
        <row r="194">
          <cell r="B194" t="str">
            <v>Rasheen Ali</v>
          </cell>
          <cell r="C194" t="str">
            <v>BAL</v>
          </cell>
          <cell r="D194" t="str">
            <v>RB</v>
          </cell>
        </row>
        <row r="195">
          <cell r="B195" t="str">
            <v>Mike Boone</v>
          </cell>
          <cell r="C195" t="str">
            <v>CAR</v>
          </cell>
          <cell r="D195" t="str">
            <v>RB</v>
          </cell>
        </row>
        <row r="196">
          <cell r="B196" t="str">
            <v>Jonathon Brooks</v>
          </cell>
          <cell r="C196" t="str">
            <v>CAR</v>
          </cell>
          <cell r="D196" t="str">
            <v>RB</v>
          </cell>
        </row>
        <row r="197">
          <cell r="B197" t="str">
            <v>Terrell Jennings</v>
          </cell>
          <cell r="C197" t="str">
            <v>NE</v>
          </cell>
          <cell r="D197" t="str">
            <v>RB</v>
          </cell>
        </row>
        <row r="198">
          <cell r="B198" t="str">
            <v>Jacob Kibodi</v>
          </cell>
          <cell r="C198" t="str">
            <v>CLE</v>
          </cell>
          <cell r="D198" t="str">
            <v>RB</v>
          </cell>
        </row>
        <row r="199">
          <cell r="B199" t="str">
            <v>J.J. Taylor</v>
          </cell>
          <cell r="C199" t="str">
            <v>HOU</v>
          </cell>
          <cell r="D199" t="str">
            <v>RB</v>
          </cell>
        </row>
        <row r="200">
          <cell r="B200" t="str">
            <v>Sione Vaki</v>
          </cell>
          <cell r="C200" t="str">
            <v>DET</v>
          </cell>
          <cell r="D200" t="str">
            <v>RB</v>
          </cell>
        </row>
        <row r="201">
          <cell r="B201" t="str">
            <v>Dalvin Cook</v>
          </cell>
          <cell r="C201" t="str">
            <v>DAL</v>
          </cell>
          <cell r="D201" t="str">
            <v>RB</v>
          </cell>
        </row>
        <row r="202">
          <cell r="B202" t="str">
            <v>Travis Homer</v>
          </cell>
          <cell r="C202" t="str">
            <v>CHI</v>
          </cell>
          <cell r="D202" t="str">
            <v>RB</v>
          </cell>
        </row>
        <row r="203">
          <cell r="B203" t="str">
            <v>Jermar Jefferson</v>
          </cell>
          <cell r="C203" t="str">
            <v>DET</v>
          </cell>
          <cell r="D203" t="str">
            <v>RB</v>
          </cell>
        </row>
        <row r="204">
          <cell r="B204" t="str">
            <v>Jase McClellan</v>
          </cell>
          <cell r="C204" t="str">
            <v>ATL</v>
          </cell>
          <cell r="D204" t="str">
            <v>RB</v>
          </cell>
        </row>
        <row r="205">
          <cell r="B205" t="str">
            <v>Blake Watson</v>
          </cell>
          <cell r="C205" t="str">
            <v>DEN</v>
          </cell>
          <cell r="D205" t="str">
            <v>RB</v>
          </cell>
        </row>
        <row r="206">
          <cell r="B206" t="str">
            <v>Myles Gaskin</v>
          </cell>
          <cell r="C206" t="str">
            <v>JAX</v>
          </cell>
          <cell r="D206" t="str">
            <v>RB</v>
          </cell>
        </row>
        <row r="207">
          <cell r="B207" t="str">
            <v>George Holani</v>
          </cell>
          <cell r="C207" t="str">
            <v>SEA</v>
          </cell>
          <cell r="D207" t="str">
            <v>RB</v>
          </cell>
        </row>
        <row r="208">
          <cell r="B208" t="str">
            <v>MarShawn Lloyd</v>
          </cell>
          <cell r="C208" t="str">
            <v>GB</v>
          </cell>
          <cell r="D208" t="str">
            <v>RB</v>
          </cell>
        </row>
        <row r="209">
          <cell r="B209" t="str">
            <v>Scott Matlock</v>
          </cell>
          <cell r="C209" t="str">
            <v>LAC</v>
          </cell>
          <cell r="D209" t="str">
            <v>RB</v>
          </cell>
        </row>
        <row r="210">
          <cell r="B210" t="str">
            <v>Aaron Shampklin</v>
          </cell>
          <cell r="C210" t="str">
            <v>PIT</v>
          </cell>
          <cell r="D210" t="str">
            <v>RB</v>
          </cell>
        </row>
        <row r="211">
          <cell r="B211" t="str">
            <v>Jonathan Ward</v>
          </cell>
          <cell r="C211" t="str">
            <v>PIT</v>
          </cell>
          <cell r="D211" t="str">
            <v>RB</v>
          </cell>
        </row>
        <row r="212">
          <cell r="B212" t="str">
            <v>British Brooks</v>
          </cell>
          <cell r="C212" t="str">
            <v>HOU</v>
          </cell>
          <cell r="D212" t="str">
            <v>RB</v>
          </cell>
        </row>
        <row r="213">
          <cell r="B213" t="str">
            <v>Chris Collier</v>
          </cell>
          <cell r="C213" t="str">
            <v>LV</v>
          </cell>
          <cell r="D213" t="str">
            <v>RB</v>
          </cell>
        </row>
        <row r="214">
          <cell r="B214" t="str">
            <v>Tyrion Davis-Price</v>
          </cell>
          <cell r="C214" t="str">
            <v>PHI</v>
          </cell>
          <cell r="D214" t="str">
            <v>RB</v>
          </cell>
        </row>
        <row r="215">
          <cell r="B215" t="str">
            <v>Darrynton Evans</v>
          </cell>
          <cell r="C215" t="str">
            <v>CHI</v>
          </cell>
          <cell r="D215" t="str">
            <v>RB</v>
          </cell>
        </row>
        <row r="216">
          <cell r="B216" t="str">
            <v>Reggie Gilliam</v>
          </cell>
          <cell r="C216" t="str">
            <v>BUF</v>
          </cell>
          <cell r="D216" t="str">
            <v>RB</v>
          </cell>
        </row>
        <row r="217">
          <cell r="B217" t="str">
            <v>Velus Jones</v>
          </cell>
          <cell r="C217" t="str">
            <v>CAR</v>
          </cell>
          <cell r="D217" t="str">
            <v>RB</v>
          </cell>
        </row>
        <row r="218">
          <cell r="B218" t="str">
            <v>Joshua Kelley</v>
          </cell>
          <cell r="C218" t="str">
            <v>TEN</v>
          </cell>
          <cell r="D218" t="str">
            <v>RB</v>
          </cell>
        </row>
        <row r="219">
          <cell r="B219" t="str">
            <v>Cody Schrader</v>
          </cell>
          <cell r="C219" t="str">
            <v>LA</v>
          </cell>
          <cell r="D219" t="str">
            <v>RB</v>
          </cell>
        </row>
        <row r="220">
          <cell r="B220" t="str">
            <v>Ben VanSumeren</v>
          </cell>
          <cell r="C220" t="str">
            <v>PHI</v>
          </cell>
          <cell r="D220" t="str">
            <v>RB</v>
          </cell>
        </row>
        <row r="221">
          <cell r="B221" t="str">
            <v>Ke'Shawn Vaughn</v>
          </cell>
          <cell r="C221" t="str">
            <v>SF</v>
          </cell>
          <cell r="D221" t="str">
            <v>RB</v>
          </cell>
        </row>
        <row r="222">
          <cell r="B222" t="str">
            <v>Dylan Laube</v>
          </cell>
          <cell r="C222" t="str">
            <v>LV</v>
          </cell>
          <cell r="D222" t="str">
            <v>RB</v>
          </cell>
        </row>
        <row r="223">
          <cell r="B223" t="str">
            <v>Ja'Marr Chase</v>
          </cell>
          <cell r="C223" t="str">
            <v>CIN</v>
          </cell>
          <cell r="D223" t="str">
            <v>WR</v>
          </cell>
        </row>
        <row r="224">
          <cell r="B224" t="str">
            <v>Justin Jefferson</v>
          </cell>
          <cell r="C224" t="str">
            <v>MIN</v>
          </cell>
          <cell r="D224" t="str">
            <v>WR</v>
          </cell>
        </row>
        <row r="225">
          <cell r="B225" t="str">
            <v>Amon-Ra St. Brown</v>
          </cell>
          <cell r="C225" t="str">
            <v>DET</v>
          </cell>
          <cell r="D225" t="str">
            <v>WR</v>
          </cell>
        </row>
        <row r="226">
          <cell r="B226" t="str">
            <v>Brian Thomas</v>
          </cell>
          <cell r="C226" t="str">
            <v>JAX</v>
          </cell>
          <cell r="D226" t="str">
            <v>WR</v>
          </cell>
        </row>
        <row r="227">
          <cell r="B227" t="str">
            <v>Terry McLaurin</v>
          </cell>
          <cell r="C227" t="str">
            <v>WAS</v>
          </cell>
          <cell r="D227" t="str">
            <v>WR</v>
          </cell>
        </row>
        <row r="228">
          <cell r="B228" t="str">
            <v>Drake London</v>
          </cell>
          <cell r="C228" t="str">
            <v>ATL</v>
          </cell>
          <cell r="D228" t="str">
            <v>WR</v>
          </cell>
        </row>
        <row r="229">
          <cell r="B229" t="str">
            <v>Mike Evans</v>
          </cell>
          <cell r="C229" t="str">
            <v>TB</v>
          </cell>
          <cell r="D229" t="str">
            <v>WR</v>
          </cell>
        </row>
        <row r="230">
          <cell r="B230" t="str">
            <v>Malik Nabers</v>
          </cell>
          <cell r="C230" t="str">
            <v>NYG</v>
          </cell>
          <cell r="D230" t="str">
            <v>WR</v>
          </cell>
        </row>
        <row r="231">
          <cell r="B231" t="str">
            <v>Courtland Sutton</v>
          </cell>
          <cell r="C231" t="str">
            <v>DEN</v>
          </cell>
          <cell r="D231" t="str">
            <v>WR</v>
          </cell>
        </row>
        <row r="232">
          <cell r="B232" t="str">
            <v>CeeDee Lamb</v>
          </cell>
          <cell r="C232" t="str">
            <v>DAL</v>
          </cell>
          <cell r="D232" t="str">
            <v>WR</v>
          </cell>
        </row>
        <row r="233">
          <cell r="B233" t="str">
            <v>Ladd McConkey</v>
          </cell>
          <cell r="C233" t="str">
            <v>LAC</v>
          </cell>
          <cell r="D233" t="str">
            <v>WR</v>
          </cell>
        </row>
        <row r="234">
          <cell r="B234" t="str">
            <v>Davante Adams</v>
          </cell>
          <cell r="C234" t="str">
            <v>NYJ</v>
          </cell>
          <cell r="D234" t="str">
            <v>WR</v>
          </cell>
        </row>
        <row r="235">
          <cell r="B235" t="str">
            <v>Garrett Wilson</v>
          </cell>
          <cell r="C235" t="str">
            <v>NYJ</v>
          </cell>
          <cell r="D235" t="str">
            <v>WR</v>
          </cell>
        </row>
        <row r="236">
          <cell r="B236" t="str">
            <v>Jameson Williams</v>
          </cell>
          <cell r="C236" t="str">
            <v>DET</v>
          </cell>
          <cell r="D236" t="str">
            <v>WR</v>
          </cell>
        </row>
        <row r="237">
          <cell r="B237" t="str">
            <v>Tee Higgins</v>
          </cell>
          <cell r="C237" t="str">
            <v>CIN</v>
          </cell>
          <cell r="D237" t="str">
            <v>WR</v>
          </cell>
        </row>
        <row r="238">
          <cell r="B238" t="str">
            <v>Jerry Jeudy</v>
          </cell>
          <cell r="C238" t="str">
            <v>CLE</v>
          </cell>
          <cell r="D238" t="str">
            <v>WR</v>
          </cell>
        </row>
        <row r="239">
          <cell r="B239" t="str">
            <v>Jordan Addison</v>
          </cell>
          <cell r="C239" t="str">
            <v>MIN</v>
          </cell>
          <cell r="D239" t="str">
            <v>WR</v>
          </cell>
        </row>
        <row r="240">
          <cell r="B240" t="str">
            <v>A.J. Brown</v>
          </cell>
          <cell r="C240" t="str">
            <v>PHI</v>
          </cell>
          <cell r="D240" t="str">
            <v>WR</v>
          </cell>
        </row>
        <row r="241">
          <cell r="B241" t="str">
            <v>Jaxon Smith-Njigba</v>
          </cell>
          <cell r="C241" t="str">
            <v>SEA</v>
          </cell>
          <cell r="D241" t="str">
            <v>WR</v>
          </cell>
        </row>
        <row r="242">
          <cell r="B242" t="str">
            <v>Nico Collins</v>
          </cell>
          <cell r="C242" t="str">
            <v>HOU</v>
          </cell>
          <cell r="D242" t="str">
            <v>WR</v>
          </cell>
        </row>
        <row r="243">
          <cell r="B243" t="str">
            <v>Jayden Reed</v>
          </cell>
          <cell r="C243" t="str">
            <v>GB</v>
          </cell>
          <cell r="D243" t="str">
            <v>WR</v>
          </cell>
        </row>
        <row r="244">
          <cell r="B244" t="str">
            <v>Marvin Harrison</v>
          </cell>
          <cell r="C244" t="str">
            <v>ARI</v>
          </cell>
          <cell r="D244" t="str">
            <v>WR</v>
          </cell>
        </row>
        <row r="245">
          <cell r="B245" t="str">
            <v>D.J. Moore</v>
          </cell>
          <cell r="C245" t="str">
            <v>CHI</v>
          </cell>
          <cell r="D245" t="str">
            <v>WR</v>
          </cell>
        </row>
        <row r="246">
          <cell r="B246" t="str">
            <v>Tyreek Hill</v>
          </cell>
          <cell r="C246" t="str">
            <v>MIA</v>
          </cell>
          <cell r="D246" t="str">
            <v>WR</v>
          </cell>
        </row>
        <row r="247">
          <cell r="B247" t="str">
            <v>Jauan Jennings</v>
          </cell>
          <cell r="C247" t="str">
            <v>SF</v>
          </cell>
          <cell r="D247" t="str">
            <v>WR</v>
          </cell>
        </row>
        <row r="248">
          <cell r="B248" t="str">
            <v>Zay Flowers</v>
          </cell>
          <cell r="C248" t="str">
            <v>BAL</v>
          </cell>
          <cell r="D248" t="str">
            <v>WR</v>
          </cell>
        </row>
        <row r="249">
          <cell r="B249" t="str">
            <v>Calvin Ridley</v>
          </cell>
          <cell r="C249" t="str">
            <v>TEN</v>
          </cell>
          <cell r="D249" t="str">
            <v>WR</v>
          </cell>
        </row>
        <row r="250">
          <cell r="B250" t="str">
            <v>DeVonta Smith</v>
          </cell>
          <cell r="C250" t="str">
            <v>PHI</v>
          </cell>
          <cell r="D250" t="str">
            <v>WR</v>
          </cell>
        </row>
        <row r="251">
          <cell r="B251" t="str">
            <v>Rashod Bateman</v>
          </cell>
          <cell r="C251" t="str">
            <v>BAL</v>
          </cell>
          <cell r="D251" t="str">
            <v>WR</v>
          </cell>
        </row>
        <row r="252">
          <cell r="B252" t="str">
            <v>Jakobi Meyers</v>
          </cell>
          <cell r="C252" t="str">
            <v>LV</v>
          </cell>
          <cell r="D252" t="str">
            <v>WR</v>
          </cell>
        </row>
        <row r="253">
          <cell r="B253" t="str">
            <v>Darnell Mooney</v>
          </cell>
          <cell r="C253" t="str">
            <v>ATL</v>
          </cell>
          <cell r="D253" t="str">
            <v>WR</v>
          </cell>
        </row>
        <row r="254">
          <cell r="B254" t="str">
            <v>Puka Nacua</v>
          </cell>
          <cell r="C254" t="str">
            <v>LA</v>
          </cell>
          <cell r="D254" t="str">
            <v>WR</v>
          </cell>
        </row>
        <row r="255">
          <cell r="B255" t="str">
            <v>D.K. Metcalf</v>
          </cell>
          <cell r="C255" t="str">
            <v>SEA</v>
          </cell>
          <cell r="D255" t="str">
            <v>WR</v>
          </cell>
        </row>
        <row r="256">
          <cell r="B256" t="str">
            <v>Alec Pierce</v>
          </cell>
          <cell r="C256" t="str">
            <v>IND</v>
          </cell>
          <cell r="D256" t="str">
            <v>WR</v>
          </cell>
        </row>
        <row r="257">
          <cell r="B257" t="str">
            <v>Xavier Worthy</v>
          </cell>
          <cell r="C257" t="str">
            <v>KC</v>
          </cell>
          <cell r="D257" t="str">
            <v>WR</v>
          </cell>
        </row>
        <row r="258">
          <cell r="B258" t="str">
            <v>Quentin Johnston</v>
          </cell>
          <cell r="C258" t="str">
            <v>LAC</v>
          </cell>
          <cell r="D258" t="str">
            <v>WR</v>
          </cell>
        </row>
        <row r="259">
          <cell r="B259" t="str">
            <v>Keenan Allen</v>
          </cell>
          <cell r="C259" t="str">
            <v>CHI</v>
          </cell>
          <cell r="D259" t="str">
            <v>WR</v>
          </cell>
        </row>
        <row r="260">
          <cell r="B260" t="str">
            <v>Josh Downs</v>
          </cell>
          <cell r="C260" t="str">
            <v>IND</v>
          </cell>
          <cell r="D260" t="str">
            <v>WR</v>
          </cell>
        </row>
        <row r="261">
          <cell r="B261" t="str">
            <v>Cooper Kupp</v>
          </cell>
          <cell r="C261" t="str">
            <v>LA</v>
          </cell>
          <cell r="D261" t="str">
            <v>WR</v>
          </cell>
        </row>
        <row r="262">
          <cell r="B262" t="str">
            <v>George Pickens</v>
          </cell>
          <cell r="C262" t="str">
            <v>PIT</v>
          </cell>
          <cell r="D262" t="str">
            <v>WR</v>
          </cell>
        </row>
        <row r="263">
          <cell r="B263" t="str">
            <v>Khalil Shakir</v>
          </cell>
          <cell r="C263" t="str">
            <v>BUF</v>
          </cell>
          <cell r="D263" t="str">
            <v>WR</v>
          </cell>
        </row>
        <row r="264">
          <cell r="B264" t="str">
            <v>Jalen Tolbert</v>
          </cell>
          <cell r="C264" t="str">
            <v>DAL</v>
          </cell>
          <cell r="D264" t="str">
            <v>WR</v>
          </cell>
        </row>
        <row r="265">
          <cell r="B265" t="str">
            <v>Nick Westbrook</v>
          </cell>
          <cell r="C265" t="str">
            <v>TEN</v>
          </cell>
          <cell r="D265" t="str">
            <v>WR</v>
          </cell>
        </row>
        <row r="266">
          <cell r="B266" t="str">
            <v>Deebo Samuel</v>
          </cell>
          <cell r="C266" t="str">
            <v>SF</v>
          </cell>
          <cell r="D266" t="str">
            <v>WR</v>
          </cell>
        </row>
        <row r="267">
          <cell r="B267" t="str">
            <v>Jalen McMillan</v>
          </cell>
          <cell r="C267" t="str">
            <v>TB</v>
          </cell>
          <cell r="D267" t="str">
            <v>WR</v>
          </cell>
        </row>
        <row r="268">
          <cell r="B268" t="str">
            <v>Michael Pittman</v>
          </cell>
          <cell r="C268" t="str">
            <v>IND</v>
          </cell>
          <cell r="D268" t="str">
            <v>WR</v>
          </cell>
        </row>
        <row r="269">
          <cell r="B269" t="str">
            <v>Adam Thielen</v>
          </cell>
          <cell r="C269" t="str">
            <v>CAR</v>
          </cell>
          <cell r="D269" t="str">
            <v>WR</v>
          </cell>
        </row>
        <row r="270">
          <cell r="B270" t="str">
            <v>Demarcus Robinson</v>
          </cell>
          <cell r="C270" t="str">
            <v>LA</v>
          </cell>
          <cell r="D270" t="str">
            <v>WR</v>
          </cell>
        </row>
        <row r="271">
          <cell r="B271" t="str">
            <v>Rome Odunze</v>
          </cell>
          <cell r="C271" t="str">
            <v>CHI</v>
          </cell>
          <cell r="D271" t="str">
            <v>WR</v>
          </cell>
        </row>
        <row r="272">
          <cell r="B272" t="str">
            <v>Chris Godwin</v>
          </cell>
          <cell r="C272" t="str">
            <v>TB</v>
          </cell>
          <cell r="D272" t="str">
            <v>WR</v>
          </cell>
        </row>
        <row r="273">
          <cell r="B273" t="str">
            <v>Jaylen Waddle</v>
          </cell>
          <cell r="C273" t="str">
            <v>MIA</v>
          </cell>
          <cell r="D273" t="str">
            <v>WR</v>
          </cell>
        </row>
        <row r="274">
          <cell r="B274" t="str">
            <v>DeAndre Hopkins</v>
          </cell>
          <cell r="C274" t="str">
            <v>KC</v>
          </cell>
          <cell r="D274" t="str">
            <v>WR</v>
          </cell>
        </row>
        <row r="275">
          <cell r="B275" t="str">
            <v>Allen Lazard</v>
          </cell>
          <cell r="C275" t="str">
            <v>NYJ</v>
          </cell>
          <cell r="D275" t="str">
            <v>WR</v>
          </cell>
        </row>
        <row r="276">
          <cell r="B276" t="str">
            <v>Wan'Dale Robinson</v>
          </cell>
          <cell r="C276" t="str">
            <v>NYG</v>
          </cell>
          <cell r="D276" t="str">
            <v>WR</v>
          </cell>
        </row>
        <row r="277">
          <cell r="B277" t="str">
            <v>Nathaniel Dell</v>
          </cell>
          <cell r="C277" t="str">
            <v>HOU</v>
          </cell>
          <cell r="D277" t="str">
            <v>WR</v>
          </cell>
        </row>
        <row r="278">
          <cell r="B278" t="str">
            <v>Marvin Mims</v>
          </cell>
          <cell r="C278" t="str">
            <v>DEN</v>
          </cell>
          <cell r="D278" t="str">
            <v>WR</v>
          </cell>
        </row>
        <row r="279">
          <cell r="B279" t="str">
            <v>Romeo Doubs</v>
          </cell>
          <cell r="C279" t="str">
            <v>GB</v>
          </cell>
          <cell r="D279" t="str">
            <v>WR</v>
          </cell>
        </row>
        <row r="280">
          <cell r="B280" t="str">
            <v>Keon Coleman</v>
          </cell>
          <cell r="C280" t="str">
            <v>BUF</v>
          </cell>
          <cell r="D280" t="str">
            <v>WR</v>
          </cell>
        </row>
        <row r="281">
          <cell r="B281" t="str">
            <v>Andrei Iosivas</v>
          </cell>
          <cell r="C281" t="str">
            <v>CIN</v>
          </cell>
          <cell r="D281" t="str">
            <v>WR</v>
          </cell>
        </row>
        <row r="282">
          <cell r="B282" t="str">
            <v>Amari Cooper</v>
          </cell>
          <cell r="C282" t="str">
            <v>BUF</v>
          </cell>
          <cell r="D282" t="str">
            <v>WR</v>
          </cell>
        </row>
        <row r="283">
          <cell r="B283" t="str">
            <v>Demario Douglas</v>
          </cell>
          <cell r="C283" t="str">
            <v>NE</v>
          </cell>
          <cell r="D283" t="str">
            <v>WR</v>
          </cell>
        </row>
        <row r="284">
          <cell r="B284" t="str">
            <v>Tre Tucker</v>
          </cell>
          <cell r="C284" t="str">
            <v>LV</v>
          </cell>
          <cell r="D284" t="str">
            <v>WR</v>
          </cell>
        </row>
        <row r="285">
          <cell r="B285" t="str">
            <v>Kayshon Boutte</v>
          </cell>
          <cell r="C285" t="str">
            <v>NE</v>
          </cell>
          <cell r="D285" t="str">
            <v>WR</v>
          </cell>
        </row>
        <row r="286">
          <cell r="B286" t="str">
            <v>Jalen Nailor</v>
          </cell>
          <cell r="C286" t="str">
            <v>MIN</v>
          </cell>
          <cell r="D286" t="str">
            <v>WR</v>
          </cell>
        </row>
        <row r="287">
          <cell r="B287" t="str">
            <v>Christian Watson</v>
          </cell>
          <cell r="C287" t="str">
            <v>GB</v>
          </cell>
          <cell r="D287" t="str">
            <v>WR</v>
          </cell>
        </row>
        <row r="288">
          <cell r="B288" t="str">
            <v>Michael Wilson</v>
          </cell>
          <cell r="C288" t="str">
            <v>ARI</v>
          </cell>
          <cell r="D288" t="str">
            <v>WR</v>
          </cell>
        </row>
        <row r="289">
          <cell r="B289" t="str">
            <v>Calvin Austin</v>
          </cell>
          <cell r="C289" t="str">
            <v>PIT</v>
          </cell>
          <cell r="D289" t="str">
            <v>WR</v>
          </cell>
        </row>
        <row r="290">
          <cell r="B290" t="str">
            <v>Stefon Diggs</v>
          </cell>
          <cell r="C290" t="str">
            <v>HOU</v>
          </cell>
          <cell r="D290" t="str">
            <v>WR</v>
          </cell>
        </row>
        <row r="291">
          <cell r="B291" t="str">
            <v>Xavier Legette</v>
          </cell>
          <cell r="C291" t="str">
            <v>CAR</v>
          </cell>
          <cell r="D291" t="str">
            <v>WR</v>
          </cell>
        </row>
        <row r="292">
          <cell r="B292" t="str">
            <v>Ray Ray McCloud</v>
          </cell>
          <cell r="C292" t="str">
            <v>ATL</v>
          </cell>
          <cell r="D292" t="str">
            <v>WR</v>
          </cell>
        </row>
        <row r="293">
          <cell r="B293" t="str">
            <v>Dontayvion Wicks</v>
          </cell>
          <cell r="C293" t="str">
            <v>GB</v>
          </cell>
          <cell r="D293" t="str">
            <v>WR</v>
          </cell>
        </row>
        <row r="294">
          <cell r="B294" t="str">
            <v>Tyler Lockett</v>
          </cell>
          <cell r="C294" t="str">
            <v>SEA</v>
          </cell>
          <cell r="D294" t="str">
            <v>WR</v>
          </cell>
        </row>
        <row r="295">
          <cell r="B295" t="str">
            <v>Darius Slayton</v>
          </cell>
          <cell r="C295" t="str">
            <v>NYG</v>
          </cell>
          <cell r="D295" t="str">
            <v>WR</v>
          </cell>
        </row>
        <row r="296">
          <cell r="B296" t="str">
            <v>Josh Palmer</v>
          </cell>
          <cell r="C296" t="str">
            <v>LAC</v>
          </cell>
          <cell r="D296" t="str">
            <v>WR</v>
          </cell>
        </row>
        <row r="297">
          <cell r="B297" t="str">
            <v>Olamide Zaccheaus</v>
          </cell>
          <cell r="C297" t="str">
            <v>WAS</v>
          </cell>
          <cell r="D297" t="str">
            <v>WR</v>
          </cell>
        </row>
        <row r="298">
          <cell r="B298" t="str">
            <v>Mack Hollins</v>
          </cell>
          <cell r="C298" t="str">
            <v>BUF</v>
          </cell>
          <cell r="D298" t="str">
            <v>WR</v>
          </cell>
        </row>
        <row r="299">
          <cell r="B299" t="str">
            <v>Marquez Valdes-Scantling</v>
          </cell>
          <cell r="C299" t="str">
            <v>NO</v>
          </cell>
          <cell r="D299" t="str">
            <v>WR</v>
          </cell>
        </row>
        <row r="300">
          <cell r="B300" t="str">
            <v>Devaughn Vele</v>
          </cell>
          <cell r="C300" t="str">
            <v>DEN</v>
          </cell>
          <cell r="D300" t="str">
            <v>WR</v>
          </cell>
        </row>
        <row r="301">
          <cell r="B301" t="str">
            <v>Ricky Pearsall</v>
          </cell>
          <cell r="C301" t="str">
            <v>SF</v>
          </cell>
          <cell r="D301" t="str">
            <v>WR</v>
          </cell>
        </row>
        <row r="302">
          <cell r="B302" t="str">
            <v>Jalen Coker</v>
          </cell>
          <cell r="C302" t="str">
            <v>CAR</v>
          </cell>
          <cell r="D302" t="str">
            <v>WR</v>
          </cell>
        </row>
        <row r="303">
          <cell r="B303" t="str">
            <v>Parker Washington</v>
          </cell>
          <cell r="C303" t="str">
            <v>JAX</v>
          </cell>
          <cell r="D303" t="str">
            <v>WR</v>
          </cell>
        </row>
        <row r="304">
          <cell r="B304" t="str">
            <v>Elijah Moore</v>
          </cell>
          <cell r="C304" t="str">
            <v>CLE</v>
          </cell>
          <cell r="D304" t="str">
            <v>WR</v>
          </cell>
        </row>
        <row r="305">
          <cell r="B305" t="str">
            <v>Tim Patrick</v>
          </cell>
          <cell r="C305" t="str">
            <v>DET</v>
          </cell>
          <cell r="D305" t="str">
            <v>WR</v>
          </cell>
        </row>
        <row r="306">
          <cell r="B306" t="str">
            <v>KaVontae Turpin</v>
          </cell>
          <cell r="C306" t="str">
            <v>DAL</v>
          </cell>
          <cell r="D306" t="str">
            <v>WR</v>
          </cell>
        </row>
        <row r="307">
          <cell r="B307" t="str">
            <v>Rashid Shaheed</v>
          </cell>
          <cell r="C307" t="str">
            <v>NO</v>
          </cell>
          <cell r="D307" t="str">
            <v>WR</v>
          </cell>
        </row>
        <row r="308">
          <cell r="B308" t="str">
            <v>Diontae Johnson</v>
          </cell>
          <cell r="C308" t="str">
            <v>BAL</v>
          </cell>
          <cell r="D308" t="str">
            <v>WR</v>
          </cell>
        </row>
        <row r="309">
          <cell r="B309" t="str">
            <v>Chatarius Atwell</v>
          </cell>
          <cell r="C309" t="str">
            <v>LA</v>
          </cell>
          <cell r="D309" t="str">
            <v>WR</v>
          </cell>
        </row>
        <row r="310">
          <cell r="B310" t="str">
            <v>Cedric Tillman</v>
          </cell>
          <cell r="C310" t="str">
            <v>CLE</v>
          </cell>
          <cell r="D310" t="str">
            <v>WR</v>
          </cell>
        </row>
        <row r="311">
          <cell r="B311" t="str">
            <v>Noah Brown</v>
          </cell>
          <cell r="C311" t="str">
            <v>WAS</v>
          </cell>
          <cell r="D311" t="str">
            <v>WR</v>
          </cell>
        </row>
        <row r="312">
          <cell r="B312" t="str">
            <v>David Moore</v>
          </cell>
          <cell r="C312" t="str">
            <v>CAR</v>
          </cell>
          <cell r="D312" t="str">
            <v>WR</v>
          </cell>
        </row>
        <row r="313">
          <cell r="B313" t="str">
            <v>Greg Dortch</v>
          </cell>
          <cell r="C313" t="str">
            <v>ARI</v>
          </cell>
          <cell r="D313" t="str">
            <v>WR</v>
          </cell>
        </row>
        <row r="314">
          <cell r="B314" t="str">
            <v>Chris Olave</v>
          </cell>
          <cell r="C314" t="str">
            <v>NO</v>
          </cell>
          <cell r="D314" t="str">
            <v>WR</v>
          </cell>
        </row>
        <row r="315">
          <cell r="B315" t="str">
            <v>Sterling Shepard</v>
          </cell>
          <cell r="C315" t="str">
            <v>TB</v>
          </cell>
          <cell r="D315" t="str">
            <v>WR</v>
          </cell>
        </row>
        <row r="316">
          <cell r="B316" t="str">
            <v>Christian Kirk</v>
          </cell>
          <cell r="C316" t="str">
            <v>JAX</v>
          </cell>
          <cell r="D316" t="str">
            <v>WR</v>
          </cell>
        </row>
        <row r="317">
          <cell r="B317" t="str">
            <v>Rashee Rice</v>
          </cell>
          <cell r="C317" t="str">
            <v>KC</v>
          </cell>
          <cell r="D317" t="str">
            <v>WR</v>
          </cell>
        </row>
        <row r="318">
          <cell r="B318" t="str">
            <v>Brandin Cooks</v>
          </cell>
          <cell r="C318" t="str">
            <v>DAL</v>
          </cell>
          <cell r="D318" t="str">
            <v>WR</v>
          </cell>
        </row>
        <row r="319">
          <cell r="B319" t="str">
            <v>Van Jefferson</v>
          </cell>
          <cell r="C319" t="str">
            <v>PIT</v>
          </cell>
          <cell r="D319" t="str">
            <v>WR</v>
          </cell>
        </row>
        <row r="320">
          <cell r="B320" t="str">
            <v>Justin Watson</v>
          </cell>
          <cell r="C320" t="str">
            <v>KC</v>
          </cell>
          <cell r="D320" t="str">
            <v>WR</v>
          </cell>
        </row>
        <row r="321">
          <cell r="B321" t="str">
            <v>Brandon Aiyuk</v>
          </cell>
          <cell r="C321" t="str">
            <v>SF</v>
          </cell>
          <cell r="D321" t="str">
            <v>WR</v>
          </cell>
        </row>
        <row r="322">
          <cell r="B322" t="str">
            <v>Troy Franklin</v>
          </cell>
          <cell r="C322" t="str">
            <v>DEN</v>
          </cell>
          <cell r="D322" t="str">
            <v>WR</v>
          </cell>
        </row>
        <row r="323">
          <cell r="B323" t="str">
            <v>Kendrick Bourne</v>
          </cell>
          <cell r="C323" t="str">
            <v>NE</v>
          </cell>
          <cell r="D323" t="str">
            <v>WR</v>
          </cell>
        </row>
        <row r="324">
          <cell r="B324" t="str">
            <v>Tyler Boyd</v>
          </cell>
          <cell r="C324" t="str">
            <v>TEN</v>
          </cell>
          <cell r="D324" t="str">
            <v>WR</v>
          </cell>
        </row>
        <row r="325">
          <cell r="B325" t="str">
            <v>Dyami Brown</v>
          </cell>
          <cell r="C325" t="str">
            <v>WAS</v>
          </cell>
          <cell r="D325" t="str">
            <v>WR</v>
          </cell>
        </row>
        <row r="326">
          <cell r="B326" t="str">
            <v>Gabriel Davis</v>
          </cell>
          <cell r="C326" t="str">
            <v>JAX</v>
          </cell>
          <cell r="D326" t="str">
            <v>WR</v>
          </cell>
        </row>
        <row r="327">
          <cell r="B327" t="str">
            <v>Tyler Johnson</v>
          </cell>
          <cell r="C327" t="str">
            <v>LA</v>
          </cell>
          <cell r="D327" t="str">
            <v>WR</v>
          </cell>
        </row>
        <row r="328">
          <cell r="B328" t="str">
            <v>Kalif Raymond</v>
          </cell>
          <cell r="C328" t="str">
            <v>DET</v>
          </cell>
          <cell r="D328" t="str">
            <v>WR</v>
          </cell>
        </row>
        <row r="329">
          <cell r="B329" t="str">
            <v>JuJu Smith-Schuster</v>
          </cell>
          <cell r="C329" t="str">
            <v>KC</v>
          </cell>
          <cell r="D329" t="str">
            <v>WR</v>
          </cell>
        </row>
        <row r="330">
          <cell r="B330" t="str">
            <v>Nelson Agholor</v>
          </cell>
          <cell r="C330" t="str">
            <v>BAL</v>
          </cell>
          <cell r="D330" t="str">
            <v>WR</v>
          </cell>
        </row>
        <row r="331">
          <cell r="B331" t="str">
            <v>Lil'Jordan Humphrey</v>
          </cell>
          <cell r="C331" t="str">
            <v>DEN</v>
          </cell>
          <cell r="D331" t="str">
            <v>WR</v>
          </cell>
        </row>
        <row r="332">
          <cell r="B332" t="str">
            <v>Mike Williams</v>
          </cell>
          <cell r="C332" t="str">
            <v>PIT</v>
          </cell>
          <cell r="D332" t="str">
            <v>WR</v>
          </cell>
        </row>
        <row r="333">
          <cell r="B333" t="str">
            <v>Adonai Mitchell</v>
          </cell>
          <cell r="C333" t="str">
            <v>IND</v>
          </cell>
          <cell r="D333" t="str">
            <v>WR</v>
          </cell>
        </row>
        <row r="334">
          <cell r="B334" t="str">
            <v>Curtis Samuel</v>
          </cell>
          <cell r="C334" t="str">
            <v>BUF</v>
          </cell>
          <cell r="D334" t="str">
            <v>WR</v>
          </cell>
        </row>
        <row r="335">
          <cell r="B335" t="str">
            <v>Jordan Whittington</v>
          </cell>
          <cell r="C335" t="str">
            <v>LA</v>
          </cell>
          <cell r="D335" t="str">
            <v>WR</v>
          </cell>
        </row>
        <row r="336">
          <cell r="B336" t="str">
            <v>Cedrick Wilson</v>
          </cell>
          <cell r="C336" t="str">
            <v>NO</v>
          </cell>
          <cell r="D336" t="str">
            <v>WR</v>
          </cell>
        </row>
        <row r="337">
          <cell r="B337" t="str">
            <v>John Metchie</v>
          </cell>
          <cell r="C337" t="str">
            <v>HOU</v>
          </cell>
          <cell r="D337" t="str">
            <v>WR</v>
          </cell>
        </row>
        <row r="338">
          <cell r="B338" t="str">
            <v>D.J. Turner</v>
          </cell>
          <cell r="C338" t="str">
            <v>LV</v>
          </cell>
          <cell r="D338" t="str">
            <v>WR</v>
          </cell>
        </row>
        <row r="339">
          <cell r="B339" t="str">
            <v>Josh Reynolds</v>
          </cell>
          <cell r="C339" t="str">
            <v>JAX</v>
          </cell>
          <cell r="D339" t="str">
            <v>WR</v>
          </cell>
        </row>
        <row r="340">
          <cell r="B340" t="str">
            <v>Malik Washington</v>
          </cell>
          <cell r="C340" t="str">
            <v>MIA</v>
          </cell>
          <cell r="D340" t="str">
            <v>WR</v>
          </cell>
        </row>
        <row r="341">
          <cell r="B341" t="str">
            <v>Tylan Wallace</v>
          </cell>
          <cell r="C341" t="str">
            <v>BAL</v>
          </cell>
          <cell r="D341" t="str">
            <v>WR</v>
          </cell>
        </row>
        <row r="342">
          <cell r="B342" t="str">
            <v>Ryan Miller</v>
          </cell>
          <cell r="C342" t="str">
            <v>TB</v>
          </cell>
          <cell r="D342" t="str">
            <v>WR</v>
          </cell>
        </row>
        <row r="343">
          <cell r="B343" t="str">
            <v>Jalen Brooks</v>
          </cell>
          <cell r="C343" t="str">
            <v>DAL</v>
          </cell>
          <cell r="D343" t="str">
            <v>WR</v>
          </cell>
        </row>
        <row r="344">
          <cell r="B344" t="str">
            <v>Derius Davis</v>
          </cell>
          <cell r="C344" t="str">
            <v>LAC</v>
          </cell>
          <cell r="D344" t="str">
            <v>WR</v>
          </cell>
        </row>
        <row r="345">
          <cell r="B345" t="str">
            <v>Malik Heath</v>
          </cell>
          <cell r="C345" t="str">
            <v>GB</v>
          </cell>
          <cell r="D345" t="str">
            <v>WR</v>
          </cell>
        </row>
        <row r="346">
          <cell r="B346" t="str">
            <v>Trey Palmer</v>
          </cell>
          <cell r="C346" t="str">
            <v>TB</v>
          </cell>
          <cell r="D346" t="str">
            <v>WR</v>
          </cell>
        </row>
        <row r="347">
          <cell r="B347" t="str">
            <v>Ja'Lynn Polk</v>
          </cell>
          <cell r="C347" t="str">
            <v>NE</v>
          </cell>
          <cell r="D347" t="str">
            <v>WR</v>
          </cell>
        </row>
        <row r="348">
          <cell r="B348" t="str">
            <v>Jahan Dotson</v>
          </cell>
          <cell r="C348" t="str">
            <v>PHI</v>
          </cell>
          <cell r="D348" t="str">
            <v>WR</v>
          </cell>
        </row>
        <row r="349">
          <cell r="B349" t="str">
            <v>Jamison Crowder</v>
          </cell>
          <cell r="C349" t="str">
            <v>WAS</v>
          </cell>
          <cell r="D349" t="str">
            <v>WR</v>
          </cell>
        </row>
        <row r="350">
          <cell r="B350" t="str">
            <v>Mecole Hardman</v>
          </cell>
          <cell r="C350" t="str">
            <v>KC</v>
          </cell>
          <cell r="D350" t="str">
            <v>WR</v>
          </cell>
        </row>
        <row r="351">
          <cell r="B351" t="str">
            <v>Khadarel Hodge</v>
          </cell>
          <cell r="C351" t="str">
            <v>ATL</v>
          </cell>
          <cell r="D351" t="str">
            <v>WR</v>
          </cell>
        </row>
        <row r="352">
          <cell r="B352" t="str">
            <v>Jerrod Means</v>
          </cell>
          <cell r="C352" t="str">
            <v>NO</v>
          </cell>
          <cell r="D352" t="str">
            <v>WR</v>
          </cell>
        </row>
        <row r="353">
          <cell r="B353" t="str">
            <v>Dante Pettis</v>
          </cell>
          <cell r="C353" t="str">
            <v>NO</v>
          </cell>
          <cell r="D353" t="str">
            <v>WR</v>
          </cell>
        </row>
        <row r="354">
          <cell r="B354" t="str">
            <v>Ashton Dulin</v>
          </cell>
          <cell r="C354" t="str">
            <v>IND</v>
          </cell>
          <cell r="D354" t="str">
            <v>WR</v>
          </cell>
        </row>
        <row r="355">
          <cell r="B355" t="str">
            <v>Robert Woods</v>
          </cell>
          <cell r="C355" t="str">
            <v>HOU</v>
          </cell>
          <cell r="D355" t="str">
            <v>WR</v>
          </cell>
        </row>
        <row r="356">
          <cell r="B356" t="str">
            <v>Jake Bobo</v>
          </cell>
          <cell r="C356" t="str">
            <v>SEA</v>
          </cell>
          <cell r="D356" t="str">
            <v>WR</v>
          </cell>
        </row>
        <row r="357">
          <cell r="B357" t="str">
            <v>Jonathan Mingo</v>
          </cell>
          <cell r="C357" t="str">
            <v>DAL</v>
          </cell>
          <cell r="D357" t="str">
            <v>WR</v>
          </cell>
        </row>
        <row r="358">
          <cell r="B358" t="str">
            <v>Tyrell Shavers</v>
          </cell>
          <cell r="C358" t="str">
            <v>BUF</v>
          </cell>
          <cell r="D358" t="str">
            <v>WR</v>
          </cell>
        </row>
        <row r="359">
          <cell r="B359" t="str">
            <v>Kevin Austin</v>
          </cell>
          <cell r="C359" t="str">
            <v>NO</v>
          </cell>
          <cell r="D359" t="str">
            <v>WR</v>
          </cell>
        </row>
        <row r="360">
          <cell r="B360" t="str">
            <v>Luke McCaffrey</v>
          </cell>
          <cell r="C360" t="str">
            <v>WAS</v>
          </cell>
          <cell r="D360" t="str">
            <v>WR</v>
          </cell>
        </row>
        <row r="361">
          <cell r="B361" t="str">
            <v>Rakim Jarrett</v>
          </cell>
          <cell r="C361" t="str">
            <v>TB</v>
          </cell>
          <cell r="D361" t="str">
            <v>WR</v>
          </cell>
        </row>
        <row r="362">
          <cell r="B362" t="str">
            <v>Tay Martin</v>
          </cell>
          <cell r="C362" t="str">
            <v>TEN</v>
          </cell>
          <cell r="D362" t="str">
            <v>WR</v>
          </cell>
        </row>
        <row r="363">
          <cell r="B363" t="str">
            <v>K.J. Osborn</v>
          </cell>
          <cell r="C363" t="str">
            <v>WAS</v>
          </cell>
          <cell r="D363" t="str">
            <v>WR</v>
          </cell>
        </row>
        <row r="364">
          <cell r="B364" t="str">
            <v>Trent Sherfield</v>
          </cell>
          <cell r="C364" t="str">
            <v>MIN</v>
          </cell>
          <cell r="D364" t="str">
            <v>WR</v>
          </cell>
        </row>
        <row r="365">
          <cell r="B365" t="str">
            <v>Jermaine Burton</v>
          </cell>
          <cell r="C365" t="str">
            <v>CIN</v>
          </cell>
          <cell r="D365" t="str">
            <v>WR</v>
          </cell>
        </row>
        <row r="366">
          <cell r="B366" t="str">
            <v>Simi Fehoko</v>
          </cell>
          <cell r="C366" t="str">
            <v>LAC</v>
          </cell>
          <cell r="D366" t="str">
            <v>WR</v>
          </cell>
        </row>
        <row r="367">
          <cell r="B367" t="str">
            <v>Ainias Smith</v>
          </cell>
          <cell r="C367" t="str">
            <v>PHI</v>
          </cell>
          <cell r="D367" t="str">
            <v>WR</v>
          </cell>
        </row>
        <row r="368">
          <cell r="B368" t="str">
            <v>Marquise Brown</v>
          </cell>
          <cell r="C368" t="str">
            <v>KC</v>
          </cell>
          <cell r="D368" t="str">
            <v>WR</v>
          </cell>
        </row>
        <row r="369">
          <cell r="B369" t="str">
            <v>Parris Campbell</v>
          </cell>
          <cell r="C369" t="str">
            <v>PHI</v>
          </cell>
          <cell r="D369" t="str">
            <v>WR</v>
          </cell>
        </row>
        <row r="370">
          <cell r="B370" t="str">
            <v>Xavier Hutchinson</v>
          </cell>
          <cell r="C370" t="str">
            <v>HOU</v>
          </cell>
          <cell r="D370" t="str">
            <v>WR</v>
          </cell>
        </row>
        <row r="371">
          <cell r="B371" t="str">
            <v>Bo Melton</v>
          </cell>
          <cell r="C371" t="str">
            <v>GB</v>
          </cell>
          <cell r="D371" t="str">
            <v>WR</v>
          </cell>
        </row>
        <row r="372">
          <cell r="B372" t="str">
            <v>Jalen Reagor</v>
          </cell>
          <cell r="C372" t="str">
            <v>LAC</v>
          </cell>
          <cell r="D372" t="str">
            <v>WR</v>
          </cell>
        </row>
        <row r="373">
          <cell r="B373" t="str">
            <v>Devontez Walker</v>
          </cell>
          <cell r="C373" t="str">
            <v>BAL</v>
          </cell>
          <cell r="D373" t="str">
            <v>WR</v>
          </cell>
        </row>
        <row r="374">
          <cell r="B374" t="str">
            <v>Johnny Wilson</v>
          </cell>
          <cell r="C374" t="str">
            <v>PHI</v>
          </cell>
          <cell r="D374" t="str">
            <v>WR</v>
          </cell>
        </row>
        <row r="375">
          <cell r="B375" t="str">
            <v>D.J. Chark</v>
          </cell>
          <cell r="C375" t="str">
            <v>LAC</v>
          </cell>
          <cell r="D375" t="str">
            <v>WR</v>
          </cell>
        </row>
        <row r="376">
          <cell r="B376" t="str">
            <v>Jacob Cowing</v>
          </cell>
          <cell r="C376" t="str">
            <v>SF</v>
          </cell>
          <cell r="D376" t="str">
            <v>WR</v>
          </cell>
        </row>
        <row r="377">
          <cell r="B377" t="str">
            <v>Ryan Flournoy</v>
          </cell>
          <cell r="C377" t="str">
            <v>DAL</v>
          </cell>
          <cell r="D377" t="str">
            <v>WR</v>
          </cell>
        </row>
        <row r="378">
          <cell r="B378" t="str">
            <v>Xavier Gipson</v>
          </cell>
          <cell r="C378" t="str">
            <v>NYJ</v>
          </cell>
          <cell r="D378" t="str">
            <v>WR</v>
          </cell>
        </row>
        <row r="379">
          <cell r="B379" t="str">
            <v>Bryce Oliver</v>
          </cell>
          <cell r="C379" t="str">
            <v>TEN</v>
          </cell>
          <cell r="D379" t="str">
            <v>WR</v>
          </cell>
        </row>
        <row r="380">
          <cell r="B380" t="str">
            <v>Mason Tipton</v>
          </cell>
          <cell r="C380" t="str">
            <v>NO</v>
          </cell>
          <cell r="D380" t="str">
            <v>WR</v>
          </cell>
        </row>
        <row r="381">
          <cell r="B381" t="str">
            <v>Kristian Wilkerson</v>
          </cell>
          <cell r="C381" t="str">
            <v>LV</v>
          </cell>
          <cell r="D381" t="str">
            <v>WR</v>
          </cell>
        </row>
        <row r="382">
          <cell r="B382" t="str">
            <v>Chris Conley</v>
          </cell>
          <cell r="C382" t="str">
            <v>SF</v>
          </cell>
          <cell r="D382" t="str">
            <v>WR</v>
          </cell>
        </row>
        <row r="383">
          <cell r="B383" t="str">
            <v>Devin Duvernay</v>
          </cell>
          <cell r="C383" t="str">
            <v>JAX</v>
          </cell>
          <cell r="D383" t="str">
            <v>WR</v>
          </cell>
        </row>
        <row r="384">
          <cell r="B384" t="str">
            <v>Zay Jones</v>
          </cell>
          <cell r="C384" t="str">
            <v>ARI</v>
          </cell>
          <cell r="D384" t="str">
            <v>WR</v>
          </cell>
        </row>
        <row r="385">
          <cell r="B385" t="str">
            <v>Scott Miller</v>
          </cell>
          <cell r="C385" t="str">
            <v>PIT</v>
          </cell>
          <cell r="D385" t="str">
            <v>WR</v>
          </cell>
        </row>
        <row r="386">
          <cell r="B386" t="str">
            <v>Ben Skowronek</v>
          </cell>
          <cell r="C386" t="str">
            <v>PIT</v>
          </cell>
          <cell r="D386" t="str">
            <v>WR</v>
          </cell>
        </row>
        <row r="387">
          <cell r="B387" t="str">
            <v>Michael Woods</v>
          </cell>
          <cell r="C387" t="str">
            <v>CLE</v>
          </cell>
          <cell r="D387" t="str">
            <v>WR</v>
          </cell>
        </row>
        <row r="388">
          <cell r="B388" t="str">
            <v>DeAndre Carter</v>
          </cell>
          <cell r="C388" t="str">
            <v>CHI</v>
          </cell>
          <cell r="D388" t="str">
            <v>WR</v>
          </cell>
        </row>
        <row r="389">
          <cell r="B389" t="str">
            <v>River Cracraft</v>
          </cell>
          <cell r="C389" t="str">
            <v>MIA</v>
          </cell>
          <cell r="D389" t="str">
            <v>WR</v>
          </cell>
        </row>
        <row r="390">
          <cell r="B390" t="str">
            <v>Tim Jones</v>
          </cell>
          <cell r="C390" t="str">
            <v>JAX</v>
          </cell>
          <cell r="D390" t="str">
            <v>WR</v>
          </cell>
        </row>
        <row r="391">
          <cell r="B391" t="str">
            <v>Brandon Powell</v>
          </cell>
          <cell r="C391" t="str">
            <v>MIN</v>
          </cell>
          <cell r="D391" t="str">
            <v>WR</v>
          </cell>
        </row>
        <row r="392">
          <cell r="B392" t="str">
            <v>Nikko Remigio</v>
          </cell>
          <cell r="C392" t="str">
            <v>KC</v>
          </cell>
          <cell r="D392" t="str">
            <v>WR</v>
          </cell>
        </row>
        <row r="393">
          <cell r="B393" t="str">
            <v>Tyquan Thornton</v>
          </cell>
          <cell r="C393" t="str">
            <v>KC</v>
          </cell>
          <cell r="D393" t="str">
            <v>WR</v>
          </cell>
        </row>
        <row r="394">
          <cell r="B394" t="str">
            <v>Cody White</v>
          </cell>
          <cell r="C394" t="str">
            <v>SEA</v>
          </cell>
          <cell r="D394" t="str">
            <v>WR</v>
          </cell>
        </row>
        <row r="395">
          <cell r="B395" t="str">
            <v>Alex Bachman</v>
          </cell>
          <cell r="C395" t="str">
            <v>LV</v>
          </cell>
          <cell r="D395" t="str">
            <v>WR</v>
          </cell>
        </row>
        <row r="396">
          <cell r="B396" t="str">
            <v>Odell Beckham Jr.</v>
          </cell>
          <cell r="C396" t="str">
            <v>MIA</v>
          </cell>
          <cell r="D396" t="str">
            <v>WR</v>
          </cell>
        </row>
        <row r="397">
          <cell r="B397" t="str">
            <v>Britain Covey</v>
          </cell>
          <cell r="C397" t="str">
            <v>PHI</v>
          </cell>
          <cell r="D397" t="str">
            <v>WR</v>
          </cell>
        </row>
        <row r="398">
          <cell r="B398" t="str">
            <v>D'Wayne Eskridge</v>
          </cell>
          <cell r="C398" t="str">
            <v>MIA</v>
          </cell>
          <cell r="D398" t="str">
            <v>WR</v>
          </cell>
        </row>
        <row r="399">
          <cell r="B399" t="str">
            <v>Jalin Hyatt</v>
          </cell>
          <cell r="C399" t="str">
            <v>NYG</v>
          </cell>
          <cell r="D399" t="str">
            <v>WR</v>
          </cell>
        </row>
        <row r="400">
          <cell r="B400" t="str">
            <v>Xavier Smith</v>
          </cell>
          <cell r="C400" t="str">
            <v>LA</v>
          </cell>
          <cell r="D400" t="str">
            <v>WR</v>
          </cell>
        </row>
        <row r="401">
          <cell r="B401" t="str">
            <v>Austin Trammell</v>
          </cell>
          <cell r="C401" t="str">
            <v>JAX</v>
          </cell>
          <cell r="D401" t="str">
            <v>WR</v>
          </cell>
        </row>
        <row r="402">
          <cell r="B402" t="str">
            <v>David Bell</v>
          </cell>
          <cell r="C402" t="str">
            <v>CLE</v>
          </cell>
          <cell r="D402" t="str">
            <v>WR</v>
          </cell>
        </row>
        <row r="403">
          <cell r="B403" t="str">
            <v>Ronnie Bell</v>
          </cell>
          <cell r="C403" t="str">
            <v>SF</v>
          </cell>
          <cell r="D403" t="str">
            <v>WR</v>
          </cell>
        </row>
        <row r="404">
          <cell r="B404" t="str">
            <v>Treylon Burks</v>
          </cell>
          <cell r="C404" t="str">
            <v>TEN</v>
          </cell>
          <cell r="D404" t="str">
            <v>WR</v>
          </cell>
        </row>
        <row r="405">
          <cell r="B405" t="str">
            <v>Dan Chisena</v>
          </cell>
          <cell r="C405" t="str">
            <v>CAR</v>
          </cell>
          <cell r="D405" t="str">
            <v>WR</v>
          </cell>
        </row>
        <row r="406">
          <cell r="B406" t="str">
            <v>Anthony Gould</v>
          </cell>
          <cell r="C406" t="str">
            <v>IND</v>
          </cell>
          <cell r="D406" t="str">
            <v>WR</v>
          </cell>
        </row>
        <row r="407">
          <cell r="B407" t="str">
            <v>Terrace Marshall</v>
          </cell>
          <cell r="C407" t="str">
            <v>LV</v>
          </cell>
          <cell r="D407" t="str">
            <v>WR</v>
          </cell>
        </row>
        <row r="408">
          <cell r="B408" t="str">
            <v>Allen Robinson</v>
          </cell>
          <cell r="C408" t="str">
            <v>DET</v>
          </cell>
          <cell r="D408" t="str">
            <v>WR</v>
          </cell>
        </row>
        <row r="409">
          <cell r="B409" t="str">
            <v>Jamari Thrash</v>
          </cell>
          <cell r="C409" t="str">
            <v>CLE</v>
          </cell>
          <cell r="D409" t="str">
            <v>WR</v>
          </cell>
        </row>
        <row r="410">
          <cell r="B410" t="str">
            <v>Javon Baker</v>
          </cell>
          <cell r="C410" t="str">
            <v>NE</v>
          </cell>
          <cell r="D410" t="str">
            <v>WR</v>
          </cell>
        </row>
        <row r="411">
          <cell r="B411" t="str">
            <v>Chris Blair</v>
          </cell>
          <cell r="C411" t="str">
            <v>ATL</v>
          </cell>
          <cell r="D411" t="str">
            <v>WR</v>
          </cell>
        </row>
        <row r="412">
          <cell r="B412" t="str">
            <v>Malachi Corley</v>
          </cell>
          <cell r="C412" t="str">
            <v>NYJ</v>
          </cell>
          <cell r="D412" t="str">
            <v>WR</v>
          </cell>
        </row>
        <row r="413">
          <cell r="B413" t="str">
            <v>Grant DuBose</v>
          </cell>
          <cell r="C413" t="str">
            <v>MIA</v>
          </cell>
          <cell r="D413" t="str">
            <v>WR</v>
          </cell>
        </row>
        <row r="414">
          <cell r="B414" t="str">
            <v>Kameron Johnson</v>
          </cell>
          <cell r="C414" t="str">
            <v>TB</v>
          </cell>
          <cell r="D414" t="str">
            <v>WR</v>
          </cell>
        </row>
        <row r="415">
          <cell r="B415" t="str">
            <v>Mason Kinsey</v>
          </cell>
          <cell r="C415" t="str">
            <v>TEN</v>
          </cell>
          <cell r="D415" t="str">
            <v>WR</v>
          </cell>
        </row>
        <row r="416">
          <cell r="B416" t="str">
            <v>Tyreik McAllister</v>
          </cell>
          <cell r="C416" t="str">
            <v>LV</v>
          </cell>
          <cell r="D416" t="str">
            <v>WR</v>
          </cell>
        </row>
        <row r="417">
          <cell r="B417" t="str">
            <v>Anthony Miller</v>
          </cell>
          <cell r="C417" t="str">
            <v>BAL</v>
          </cell>
          <cell r="D417" t="str">
            <v>WR</v>
          </cell>
        </row>
        <row r="418">
          <cell r="B418" t="str">
            <v>Trent Taylor</v>
          </cell>
          <cell r="C418" t="str">
            <v>SF</v>
          </cell>
          <cell r="D418" t="str">
            <v>WR</v>
          </cell>
        </row>
        <row r="419">
          <cell r="B419" t="str">
            <v>Deven Thompkins</v>
          </cell>
          <cell r="C419" t="str">
            <v>CAR</v>
          </cell>
          <cell r="D419" t="str">
            <v>WR</v>
          </cell>
        </row>
        <row r="420">
          <cell r="B420" t="str">
            <v>Casey Washington</v>
          </cell>
          <cell r="C420" t="str">
            <v>ATL</v>
          </cell>
          <cell r="D420" t="str">
            <v>WR</v>
          </cell>
        </row>
        <row r="421">
          <cell r="B421" t="str">
            <v>Robbie Chosen</v>
          </cell>
          <cell r="C421" t="str">
            <v>MIA</v>
          </cell>
          <cell r="D421" t="str">
            <v>WR</v>
          </cell>
        </row>
        <row r="422">
          <cell r="B422" t="str">
            <v>Jaelon Darden</v>
          </cell>
          <cell r="C422" t="str">
            <v>SEA</v>
          </cell>
          <cell r="D422" t="str">
            <v>WR</v>
          </cell>
        </row>
        <row r="423">
          <cell r="B423" t="str">
            <v>Isaiah Hodgins</v>
          </cell>
          <cell r="C423" t="str">
            <v>NYG</v>
          </cell>
          <cell r="D423" t="str">
            <v>WR</v>
          </cell>
        </row>
        <row r="424">
          <cell r="B424" t="str">
            <v>Trenton Irwin</v>
          </cell>
          <cell r="C424" t="str">
            <v>CAR</v>
          </cell>
          <cell r="D424" t="str">
            <v>WR</v>
          </cell>
        </row>
        <row r="425">
          <cell r="B425" t="str">
            <v>Jermaine Jackson</v>
          </cell>
          <cell r="C425" t="str">
            <v>NO</v>
          </cell>
          <cell r="D425" t="str">
            <v>WR</v>
          </cell>
        </row>
        <row r="426">
          <cell r="B426" t="str">
            <v>Brandon Johnson</v>
          </cell>
          <cell r="C426" t="str">
            <v>PIT</v>
          </cell>
          <cell r="D426" t="str">
            <v>WR</v>
          </cell>
        </row>
        <row r="427">
          <cell r="B427" t="str">
            <v>Collin Johnson</v>
          </cell>
          <cell r="C427" t="str">
            <v>CHI</v>
          </cell>
          <cell r="D427" t="str">
            <v>WR</v>
          </cell>
        </row>
        <row r="428">
          <cell r="B428" t="str">
            <v>Ramel Keyton</v>
          </cell>
          <cell r="C428" t="str">
            <v>LV</v>
          </cell>
          <cell r="D428" t="str">
            <v>WR</v>
          </cell>
        </row>
        <row r="429">
          <cell r="B429" t="str">
            <v>James Proche</v>
          </cell>
          <cell r="C429" t="str">
            <v>CLE</v>
          </cell>
          <cell r="D429" t="str">
            <v>WR</v>
          </cell>
        </row>
        <row r="430">
          <cell r="B430" t="str">
            <v>Kendric Pryor</v>
          </cell>
          <cell r="C430" t="str">
            <v>CIN</v>
          </cell>
          <cell r="D430" t="str">
            <v>WR</v>
          </cell>
        </row>
        <row r="431">
          <cell r="B431" t="str">
            <v>John Ross</v>
          </cell>
          <cell r="C431" t="str">
            <v>PHI</v>
          </cell>
          <cell r="D431" t="str">
            <v>WR</v>
          </cell>
        </row>
        <row r="432">
          <cell r="B432" t="str">
            <v>Tyler Scott</v>
          </cell>
          <cell r="C432" t="str">
            <v>CHI</v>
          </cell>
          <cell r="D432" t="str">
            <v>WR</v>
          </cell>
        </row>
        <row r="433">
          <cell r="B433" t="str">
            <v>Laviska Shenault</v>
          </cell>
          <cell r="C433" t="str">
            <v>LAC</v>
          </cell>
          <cell r="D433" t="str">
            <v>WR</v>
          </cell>
        </row>
        <row r="434">
          <cell r="B434" t="str">
            <v>Brycen Tremayne</v>
          </cell>
          <cell r="C434" t="str">
            <v>WAS</v>
          </cell>
          <cell r="D434" t="str">
            <v>WR</v>
          </cell>
        </row>
        <row r="435">
          <cell r="B435" t="str">
            <v>Isaiah Williams</v>
          </cell>
          <cell r="C435" t="str">
            <v>CIN</v>
          </cell>
          <cell r="D435" t="str">
            <v>WR</v>
          </cell>
        </row>
        <row r="436">
          <cell r="B436" t="str">
            <v>Charlie Jones</v>
          </cell>
          <cell r="C436" t="str">
            <v>CIN</v>
          </cell>
          <cell r="D436" t="str">
            <v>WR</v>
          </cell>
        </row>
        <row r="437">
          <cell r="B437" t="str">
            <v>Steven Sims</v>
          </cell>
          <cell r="C437" t="str">
            <v>BAL</v>
          </cell>
          <cell r="D437" t="str">
            <v>WR</v>
          </cell>
        </row>
        <row r="438">
          <cell r="B438" t="str">
            <v>Kadarius Toney</v>
          </cell>
          <cell r="C438" t="str">
            <v>CLE</v>
          </cell>
          <cell r="D438" t="str">
            <v>WR</v>
          </cell>
        </row>
        <row r="439">
          <cell r="B439" t="str">
            <v>Jha'Quan Jackson</v>
          </cell>
          <cell r="C439" t="str">
            <v>TEN</v>
          </cell>
          <cell r="D439" t="str">
            <v>WR</v>
          </cell>
        </row>
        <row r="440">
          <cell r="B440" t="str">
            <v>George Kittle</v>
          </cell>
          <cell r="C440" t="str">
            <v>SF</v>
          </cell>
          <cell r="D440" t="str">
            <v>TE</v>
          </cell>
        </row>
        <row r="441">
          <cell r="B441" t="str">
            <v>Brock Bowers</v>
          </cell>
          <cell r="C441" t="str">
            <v>LV</v>
          </cell>
          <cell r="D441" t="str">
            <v>TE</v>
          </cell>
        </row>
        <row r="442">
          <cell r="B442" t="str">
            <v>Trey McBride</v>
          </cell>
          <cell r="C442" t="str">
            <v>ARI</v>
          </cell>
          <cell r="D442" t="str">
            <v>TE</v>
          </cell>
        </row>
        <row r="443">
          <cell r="B443" t="str">
            <v>Jonnu Smith</v>
          </cell>
          <cell r="C443" t="str">
            <v>MIA</v>
          </cell>
          <cell r="D443" t="str">
            <v>TE</v>
          </cell>
        </row>
        <row r="444">
          <cell r="B444" t="str">
            <v>Mark Andrews</v>
          </cell>
          <cell r="C444" t="str">
            <v>BAL</v>
          </cell>
          <cell r="D444" t="str">
            <v>TE</v>
          </cell>
        </row>
        <row r="445">
          <cell r="B445" t="str">
            <v>Sam LaPorta</v>
          </cell>
          <cell r="C445" t="str">
            <v>DET</v>
          </cell>
          <cell r="D445" t="str">
            <v>TE</v>
          </cell>
        </row>
        <row r="446">
          <cell r="B446" t="str">
            <v>Tucker Kraft</v>
          </cell>
          <cell r="C446" t="str">
            <v>GB</v>
          </cell>
          <cell r="D446" t="str">
            <v>TE</v>
          </cell>
        </row>
        <row r="447">
          <cell r="B447" t="str">
            <v>Zach Ertz</v>
          </cell>
          <cell r="C447" t="str">
            <v>WAS</v>
          </cell>
          <cell r="D447" t="str">
            <v>TE</v>
          </cell>
        </row>
        <row r="448">
          <cell r="B448" t="str">
            <v>Pat Freiermuth</v>
          </cell>
          <cell r="C448" t="str">
            <v>PIT</v>
          </cell>
          <cell r="D448" t="str">
            <v>TE</v>
          </cell>
        </row>
        <row r="449">
          <cell r="B449" t="str">
            <v>Travis Kelce</v>
          </cell>
          <cell r="C449" t="str">
            <v>KC</v>
          </cell>
          <cell r="D449" t="str">
            <v>TE</v>
          </cell>
        </row>
        <row r="450">
          <cell r="B450" t="str">
            <v>David Njoku</v>
          </cell>
          <cell r="C450" t="str">
            <v>CLE</v>
          </cell>
          <cell r="D450" t="str">
            <v>TE</v>
          </cell>
        </row>
        <row r="451">
          <cell r="B451" t="str">
            <v>Cade Otton</v>
          </cell>
          <cell r="C451" t="str">
            <v>TB</v>
          </cell>
          <cell r="D451" t="str">
            <v>TE</v>
          </cell>
        </row>
        <row r="452">
          <cell r="B452" t="str">
            <v>Kyle Pitts</v>
          </cell>
          <cell r="C452" t="str">
            <v>ATL</v>
          </cell>
          <cell r="D452" t="str">
            <v>TE</v>
          </cell>
        </row>
        <row r="453">
          <cell r="B453" t="str">
            <v>Taysom Hill</v>
          </cell>
          <cell r="C453" t="str">
            <v>NO</v>
          </cell>
          <cell r="D453" t="str">
            <v>TE</v>
          </cell>
        </row>
        <row r="454">
          <cell r="B454" t="str">
            <v>Isaiah Likely</v>
          </cell>
          <cell r="C454" t="str">
            <v>BAL</v>
          </cell>
          <cell r="D454" t="str">
            <v>TE</v>
          </cell>
        </row>
        <row r="455">
          <cell r="B455" t="str">
            <v>Mike Gesicki</v>
          </cell>
          <cell r="C455" t="str">
            <v>CIN</v>
          </cell>
          <cell r="D455" t="str">
            <v>TE</v>
          </cell>
        </row>
        <row r="456">
          <cell r="B456" t="str">
            <v>Hunter Henry</v>
          </cell>
          <cell r="C456" t="str">
            <v>NE</v>
          </cell>
          <cell r="D456" t="str">
            <v>TE</v>
          </cell>
        </row>
        <row r="457">
          <cell r="B457" t="str">
            <v>Noah Gray</v>
          </cell>
          <cell r="C457" t="str">
            <v>KC</v>
          </cell>
          <cell r="D457" t="str">
            <v>TE</v>
          </cell>
        </row>
        <row r="458">
          <cell r="B458" t="str">
            <v>Juwan Johnson</v>
          </cell>
          <cell r="C458" t="str">
            <v>NO</v>
          </cell>
          <cell r="D458" t="str">
            <v>TE</v>
          </cell>
        </row>
        <row r="459">
          <cell r="B459" t="str">
            <v>Cole Kmet</v>
          </cell>
          <cell r="C459" t="str">
            <v>CHI</v>
          </cell>
          <cell r="D459" t="str">
            <v>TE</v>
          </cell>
        </row>
        <row r="460">
          <cell r="B460" t="str">
            <v>Foster Moreau</v>
          </cell>
          <cell r="C460" t="str">
            <v>NO</v>
          </cell>
          <cell r="D460" t="str">
            <v>TE</v>
          </cell>
        </row>
        <row r="461">
          <cell r="B461" t="str">
            <v>Tyler Conklin</v>
          </cell>
          <cell r="C461" t="str">
            <v>NYJ</v>
          </cell>
          <cell r="D461" t="str">
            <v>TE</v>
          </cell>
        </row>
        <row r="462">
          <cell r="B462" t="str">
            <v>Dalton Schultz</v>
          </cell>
          <cell r="C462" t="str">
            <v>HOU</v>
          </cell>
          <cell r="D462" t="str">
            <v>TE</v>
          </cell>
        </row>
        <row r="463">
          <cell r="B463" t="str">
            <v>Dallas Goedert</v>
          </cell>
          <cell r="C463" t="str">
            <v>PHI</v>
          </cell>
          <cell r="D463" t="str">
            <v>TE</v>
          </cell>
        </row>
        <row r="464">
          <cell r="B464" t="str">
            <v>Austin Hooper</v>
          </cell>
          <cell r="C464" t="str">
            <v>NE</v>
          </cell>
          <cell r="D464" t="str">
            <v>TE</v>
          </cell>
        </row>
        <row r="465">
          <cell r="B465" t="str">
            <v>Will Dissly</v>
          </cell>
          <cell r="C465" t="str">
            <v>LAC</v>
          </cell>
          <cell r="D465" t="str">
            <v>TE</v>
          </cell>
        </row>
        <row r="466">
          <cell r="B466" t="str">
            <v>Chigoziem Okonkwo</v>
          </cell>
          <cell r="C466" t="str">
            <v>TEN</v>
          </cell>
          <cell r="D466" t="str">
            <v>TE</v>
          </cell>
        </row>
        <row r="467">
          <cell r="B467" t="str">
            <v>Dalton Kincaid</v>
          </cell>
          <cell r="C467" t="str">
            <v>BUF</v>
          </cell>
          <cell r="D467" t="str">
            <v>TE</v>
          </cell>
        </row>
        <row r="468">
          <cell r="B468" t="str">
            <v>Noah Fant</v>
          </cell>
          <cell r="C468" t="str">
            <v>SEA</v>
          </cell>
          <cell r="D468" t="str">
            <v>TE</v>
          </cell>
        </row>
        <row r="469">
          <cell r="B469" t="str">
            <v>Brenton Strange</v>
          </cell>
          <cell r="C469" t="str">
            <v>JAX</v>
          </cell>
          <cell r="D469" t="str">
            <v>TE</v>
          </cell>
        </row>
        <row r="470">
          <cell r="B470" t="str">
            <v>Jordan Akins</v>
          </cell>
          <cell r="C470" t="str">
            <v>CLE</v>
          </cell>
          <cell r="D470" t="str">
            <v>TE</v>
          </cell>
        </row>
        <row r="471">
          <cell r="B471" t="str">
            <v>Jake Ferguson</v>
          </cell>
          <cell r="C471" t="str">
            <v>DAL</v>
          </cell>
          <cell r="D471" t="str">
            <v>TE</v>
          </cell>
        </row>
        <row r="472">
          <cell r="B472" t="str">
            <v>AJ Barner</v>
          </cell>
          <cell r="C472" t="str">
            <v>SEA</v>
          </cell>
          <cell r="D472" t="str">
            <v>TE</v>
          </cell>
        </row>
        <row r="473">
          <cell r="B473" t="str">
            <v>Evan Engram</v>
          </cell>
          <cell r="C473" t="str">
            <v>JAX</v>
          </cell>
          <cell r="D473" t="str">
            <v>TE</v>
          </cell>
        </row>
        <row r="474">
          <cell r="B474" t="str">
            <v>T.J. Hockenson</v>
          </cell>
          <cell r="C474" t="str">
            <v>MIN</v>
          </cell>
          <cell r="D474" t="str">
            <v>TE</v>
          </cell>
        </row>
        <row r="475">
          <cell r="B475" t="str">
            <v>Josh Oliver</v>
          </cell>
          <cell r="C475" t="str">
            <v>MIN</v>
          </cell>
          <cell r="D475" t="str">
            <v>TE</v>
          </cell>
        </row>
        <row r="476">
          <cell r="B476" t="str">
            <v>Theo Johnson</v>
          </cell>
          <cell r="C476" t="str">
            <v>NYG</v>
          </cell>
          <cell r="D476" t="str">
            <v>TE</v>
          </cell>
        </row>
        <row r="477">
          <cell r="B477" t="str">
            <v>Dawson Knox</v>
          </cell>
          <cell r="C477" t="str">
            <v>BUF</v>
          </cell>
          <cell r="D477" t="str">
            <v>TE</v>
          </cell>
        </row>
        <row r="478">
          <cell r="B478" t="str">
            <v>Ja'Tavion Sanders</v>
          </cell>
          <cell r="C478" t="str">
            <v>CAR</v>
          </cell>
          <cell r="D478" t="str">
            <v>TE</v>
          </cell>
        </row>
        <row r="479">
          <cell r="B479" t="str">
            <v>Grant Calcaterra</v>
          </cell>
          <cell r="C479" t="str">
            <v>PHI</v>
          </cell>
          <cell r="D479" t="str">
            <v>TE</v>
          </cell>
        </row>
        <row r="480">
          <cell r="B480" t="str">
            <v>Colby Parkinson</v>
          </cell>
          <cell r="C480" t="str">
            <v>LA</v>
          </cell>
          <cell r="D480" t="str">
            <v>TE</v>
          </cell>
        </row>
        <row r="481">
          <cell r="B481" t="str">
            <v>Tommy Tremble</v>
          </cell>
          <cell r="C481" t="str">
            <v>CAR</v>
          </cell>
          <cell r="D481" t="str">
            <v>TE</v>
          </cell>
        </row>
        <row r="482">
          <cell r="B482" t="str">
            <v>Josh Whyle</v>
          </cell>
          <cell r="C482" t="str">
            <v>TEN</v>
          </cell>
          <cell r="D482" t="str">
            <v>TE</v>
          </cell>
        </row>
        <row r="483">
          <cell r="B483" t="str">
            <v>Adam Trautman</v>
          </cell>
          <cell r="C483" t="str">
            <v>DEN</v>
          </cell>
          <cell r="D483" t="str">
            <v>TE</v>
          </cell>
        </row>
        <row r="484">
          <cell r="B484" t="str">
            <v>Luke Schoonmaker</v>
          </cell>
          <cell r="C484" t="str">
            <v>DAL</v>
          </cell>
          <cell r="D484" t="str">
            <v>TE</v>
          </cell>
        </row>
        <row r="485">
          <cell r="B485" t="str">
            <v>Nick Vannett</v>
          </cell>
          <cell r="C485" t="str">
            <v>TEN</v>
          </cell>
          <cell r="D485" t="str">
            <v>TE</v>
          </cell>
        </row>
        <row r="486">
          <cell r="B486" t="str">
            <v>Elijah Higgins</v>
          </cell>
          <cell r="C486" t="str">
            <v>ARI</v>
          </cell>
          <cell r="D486" t="str">
            <v>TE</v>
          </cell>
        </row>
        <row r="487">
          <cell r="B487" t="str">
            <v>Nate Adkins</v>
          </cell>
          <cell r="C487" t="str">
            <v>DEN</v>
          </cell>
          <cell r="D487" t="str">
            <v>TE</v>
          </cell>
        </row>
        <row r="488">
          <cell r="B488" t="str">
            <v>John Mundt</v>
          </cell>
          <cell r="C488" t="str">
            <v>MIN</v>
          </cell>
          <cell r="D488" t="str">
            <v>TE</v>
          </cell>
        </row>
        <row r="489">
          <cell r="B489" t="str">
            <v>Payne Durham</v>
          </cell>
          <cell r="C489" t="str">
            <v>TB</v>
          </cell>
          <cell r="D489" t="str">
            <v>TE</v>
          </cell>
        </row>
        <row r="490">
          <cell r="B490" t="str">
            <v>Darnell Washington</v>
          </cell>
          <cell r="C490" t="str">
            <v>PIT</v>
          </cell>
          <cell r="D490" t="str">
            <v>TE</v>
          </cell>
        </row>
        <row r="491">
          <cell r="B491" t="str">
            <v>Brock Wright</v>
          </cell>
          <cell r="C491" t="str">
            <v>DET</v>
          </cell>
          <cell r="D491" t="str">
            <v>TE</v>
          </cell>
        </row>
        <row r="492">
          <cell r="B492" t="str">
            <v>Mo Alie-Cox</v>
          </cell>
          <cell r="C492" t="str">
            <v>IND</v>
          </cell>
          <cell r="D492" t="str">
            <v>TE</v>
          </cell>
        </row>
        <row r="493">
          <cell r="B493" t="str">
            <v>Stone Smartt</v>
          </cell>
          <cell r="C493" t="str">
            <v>LAC</v>
          </cell>
          <cell r="D493" t="str">
            <v>TE</v>
          </cell>
        </row>
        <row r="494">
          <cell r="B494" t="str">
            <v>Tyler Higbee</v>
          </cell>
          <cell r="C494" t="str">
            <v>LA</v>
          </cell>
          <cell r="D494" t="str">
            <v>TE</v>
          </cell>
        </row>
        <row r="495">
          <cell r="B495" t="str">
            <v>Tanner Hudson</v>
          </cell>
          <cell r="C495" t="str">
            <v>CIN</v>
          </cell>
          <cell r="D495" t="str">
            <v>TE</v>
          </cell>
        </row>
        <row r="496">
          <cell r="B496" t="str">
            <v>Charlie Kolar</v>
          </cell>
          <cell r="C496" t="str">
            <v>BAL</v>
          </cell>
          <cell r="D496" t="str">
            <v>TE</v>
          </cell>
        </row>
        <row r="497">
          <cell r="B497" t="str">
            <v>Erick All</v>
          </cell>
          <cell r="C497" t="str">
            <v>CIN</v>
          </cell>
          <cell r="D497" t="str">
            <v>TE</v>
          </cell>
        </row>
        <row r="498">
          <cell r="B498" t="str">
            <v>Kylen Granson</v>
          </cell>
          <cell r="C498" t="str">
            <v>IND</v>
          </cell>
          <cell r="D498" t="str">
            <v>TE</v>
          </cell>
        </row>
        <row r="499">
          <cell r="B499" t="str">
            <v>Andrew Ogletree</v>
          </cell>
          <cell r="C499" t="str">
            <v>IND</v>
          </cell>
          <cell r="D499" t="str">
            <v>TE</v>
          </cell>
        </row>
        <row r="500">
          <cell r="B500" t="str">
            <v>Cade Stover</v>
          </cell>
          <cell r="C500" t="str">
            <v>HOU</v>
          </cell>
          <cell r="D500" t="str">
            <v>TE</v>
          </cell>
        </row>
        <row r="501">
          <cell r="B501" t="str">
            <v>Eric Saubert</v>
          </cell>
          <cell r="C501" t="str">
            <v>SF</v>
          </cell>
          <cell r="D501" t="str">
            <v>TE</v>
          </cell>
        </row>
        <row r="502">
          <cell r="B502" t="str">
            <v>Lucas Krull</v>
          </cell>
          <cell r="C502" t="str">
            <v>DEN</v>
          </cell>
          <cell r="D502" t="str">
            <v>TE</v>
          </cell>
        </row>
        <row r="503">
          <cell r="B503" t="str">
            <v>Michael Mayer</v>
          </cell>
          <cell r="C503" t="str">
            <v>LV</v>
          </cell>
          <cell r="D503" t="str">
            <v>TE</v>
          </cell>
        </row>
        <row r="504">
          <cell r="B504" t="str">
            <v>Drew Sample</v>
          </cell>
          <cell r="C504" t="str">
            <v>CIN</v>
          </cell>
          <cell r="D504" t="str">
            <v>TE</v>
          </cell>
        </row>
        <row r="505">
          <cell r="B505" t="str">
            <v>Kenny Yeboah</v>
          </cell>
          <cell r="C505" t="str">
            <v>NYJ</v>
          </cell>
          <cell r="D505" t="str">
            <v>TE</v>
          </cell>
        </row>
        <row r="506">
          <cell r="B506" t="str">
            <v>Daniel Bellinger</v>
          </cell>
          <cell r="C506" t="str">
            <v>NYG</v>
          </cell>
          <cell r="D506" t="str">
            <v>TE</v>
          </cell>
        </row>
        <row r="507">
          <cell r="B507" t="str">
            <v>Quintin Morris</v>
          </cell>
          <cell r="C507" t="str">
            <v>BUF</v>
          </cell>
          <cell r="D507" t="str">
            <v>TE</v>
          </cell>
        </row>
        <row r="508">
          <cell r="B508" t="str">
            <v>MyCole Pruitt</v>
          </cell>
          <cell r="C508" t="str">
            <v>PIT</v>
          </cell>
          <cell r="D508" t="str">
            <v>TE</v>
          </cell>
        </row>
        <row r="509">
          <cell r="B509" t="str">
            <v>Blake Whiteheart</v>
          </cell>
          <cell r="C509" t="str">
            <v>CLE</v>
          </cell>
          <cell r="D509" t="str">
            <v>TE</v>
          </cell>
        </row>
        <row r="510">
          <cell r="B510" t="str">
            <v>Devin Culp</v>
          </cell>
          <cell r="C510" t="str">
            <v>TB</v>
          </cell>
          <cell r="D510" t="str">
            <v>TE</v>
          </cell>
        </row>
        <row r="511">
          <cell r="B511" t="str">
            <v>Chris Manhertz</v>
          </cell>
          <cell r="C511" t="str">
            <v>NYG</v>
          </cell>
          <cell r="D511" t="str">
            <v>TE</v>
          </cell>
        </row>
        <row r="512">
          <cell r="B512" t="str">
            <v>Brevyn Spann-Ford</v>
          </cell>
          <cell r="C512" t="str">
            <v>DAL</v>
          </cell>
          <cell r="D512" t="str">
            <v>TE</v>
          </cell>
        </row>
        <row r="513">
          <cell r="B513" t="str">
            <v>Harrison Bryant</v>
          </cell>
          <cell r="C513" t="str">
            <v>LV</v>
          </cell>
          <cell r="D513" t="str">
            <v>TE</v>
          </cell>
        </row>
        <row r="514">
          <cell r="B514" t="str">
            <v>Ben Sinnott</v>
          </cell>
          <cell r="C514" t="str">
            <v>WAS</v>
          </cell>
          <cell r="D514" t="str">
            <v>TE</v>
          </cell>
        </row>
        <row r="515">
          <cell r="B515" t="str">
            <v>Julian Hill</v>
          </cell>
          <cell r="C515" t="str">
            <v>MIA</v>
          </cell>
          <cell r="D515" t="str">
            <v>TE</v>
          </cell>
        </row>
        <row r="516">
          <cell r="B516" t="str">
            <v>E.J. Jenkins</v>
          </cell>
          <cell r="C516" t="str">
            <v>PHI</v>
          </cell>
          <cell r="D516" t="str">
            <v>TE</v>
          </cell>
        </row>
        <row r="517">
          <cell r="B517" t="str">
            <v>Jeremy Ruckert</v>
          </cell>
          <cell r="C517" t="str">
            <v>NYJ</v>
          </cell>
          <cell r="D517" t="str">
            <v>TE</v>
          </cell>
        </row>
        <row r="518">
          <cell r="B518" t="str">
            <v>John Bates</v>
          </cell>
          <cell r="C518" t="str">
            <v>WAS</v>
          </cell>
          <cell r="D518" t="str">
            <v>TE</v>
          </cell>
        </row>
        <row r="519">
          <cell r="B519" t="str">
            <v>Hayden Hurst</v>
          </cell>
          <cell r="C519" t="str">
            <v>LAC</v>
          </cell>
          <cell r="D519" t="str">
            <v>TE</v>
          </cell>
        </row>
        <row r="520">
          <cell r="B520" t="str">
            <v>Davis Allen</v>
          </cell>
          <cell r="C520" t="str">
            <v>LA</v>
          </cell>
          <cell r="D520" t="str">
            <v>TE</v>
          </cell>
        </row>
        <row r="521">
          <cell r="B521" t="str">
            <v>Luke Farrell</v>
          </cell>
          <cell r="C521" t="str">
            <v>JAX</v>
          </cell>
          <cell r="D521" t="str">
            <v>TE</v>
          </cell>
        </row>
        <row r="522">
          <cell r="B522" t="str">
            <v>Peyton Hendershot</v>
          </cell>
          <cell r="C522" t="str">
            <v>KC</v>
          </cell>
          <cell r="D522" t="str">
            <v>TE</v>
          </cell>
        </row>
        <row r="523">
          <cell r="B523" t="str">
            <v>Hunter Long</v>
          </cell>
          <cell r="C523" t="str">
            <v>LA</v>
          </cell>
          <cell r="D523" t="str">
            <v>TE</v>
          </cell>
        </row>
        <row r="524">
          <cell r="B524" t="str">
            <v>Ben Sims</v>
          </cell>
          <cell r="C524" t="str">
            <v>GB</v>
          </cell>
          <cell r="D524" t="str">
            <v>TE</v>
          </cell>
        </row>
        <row r="525">
          <cell r="B525" t="str">
            <v>Greg Dulcich</v>
          </cell>
          <cell r="C525" t="str">
            <v>NYG</v>
          </cell>
          <cell r="D525" t="str">
            <v>TE</v>
          </cell>
        </row>
        <row r="526">
          <cell r="B526" t="str">
            <v>Gerald Everett</v>
          </cell>
          <cell r="C526" t="str">
            <v>CHI</v>
          </cell>
          <cell r="D526" t="str">
            <v>TE</v>
          </cell>
        </row>
        <row r="527">
          <cell r="B527" t="str">
            <v>Dallin Holker</v>
          </cell>
          <cell r="C527" t="str">
            <v>NO</v>
          </cell>
          <cell r="D527" t="str">
            <v>TE</v>
          </cell>
        </row>
        <row r="528">
          <cell r="B528" t="str">
            <v>Luke Musgrave</v>
          </cell>
          <cell r="C528" t="str">
            <v>GB</v>
          </cell>
          <cell r="D528" t="str">
            <v>TE</v>
          </cell>
        </row>
        <row r="529">
          <cell r="B529" t="str">
            <v>Charlie Woerner</v>
          </cell>
          <cell r="C529" t="str">
            <v>ATL</v>
          </cell>
          <cell r="D529" t="str">
            <v>TE</v>
          </cell>
        </row>
        <row r="530">
          <cell r="B530" t="str">
            <v>Shane Zylstra</v>
          </cell>
          <cell r="C530" t="str">
            <v>DET</v>
          </cell>
          <cell r="D530" t="str">
            <v>TE</v>
          </cell>
        </row>
        <row r="531">
          <cell r="B531" t="str">
            <v>Jaheim Bell</v>
          </cell>
          <cell r="C531" t="str">
            <v>NE</v>
          </cell>
          <cell r="D531" t="str">
            <v>TE</v>
          </cell>
        </row>
        <row r="532">
          <cell r="B532" t="str">
            <v>Pharaoh Brown</v>
          </cell>
          <cell r="C532" t="str">
            <v>SEA</v>
          </cell>
          <cell r="D532" t="str">
            <v>TE</v>
          </cell>
        </row>
        <row r="533">
          <cell r="B533" t="str">
            <v>Tanner Conner</v>
          </cell>
          <cell r="C533" t="str">
            <v>MIA</v>
          </cell>
          <cell r="D533" t="str">
            <v>TE</v>
          </cell>
        </row>
        <row r="534">
          <cell r="B534" t="str">
            <v>Tucker Fisk</v>
          </cell>
          <cell r="C534" t="str">
            <v>LAC</v>
          </cell>
          <cell r="D534" t="str">
            <v>TE</v>
          </cell>
        </row>
        <row r="535">
          <cell r="B535" t="str">
            <v>Feleipe Franks</v>
          </cell>
          <cell r="C535" t="str">
            <v>CAR</v>
          </cell>
          <cell r="D535" t="str">
            <v>TE</v>
          </cell>
        </row>
        <row r="536">
          <cell r="B536" t="str">
            <v>Cam Grandy</v>
          </cell>
          <cell r="C536" t="str">
            <v>CIN</v>
          </cell>
          <cell r="D536" t="str">
            <v>TE</v>
          </cell>
        </row>
        <row r="537">
          <cell r="B537" t="str">
            <v>Will Mallory</v>
          </cell>
          <cell r="C537" t="str">
            <v>IND</v>
          </cell>
          <cell r="D537" t="str">
            <v>TE</v>
          </cell>
        </row>
        <row r="538">
          <cell r="B538" t="str">
            <v>Tip Reiman</v>
          </cell>
          <cell r="C538" t="str">
            <v>ARI</v>
          </cell>
          <cell r="D538" t="str">
            <v>TE</v>
          </cell>
        </row>
        <row r="539">
          <cell r="B539" t="str">
            <v>Zach Davidson</v>
          </cell>
          <cell r="C539" t="str">
            <v>BUF</v>
          </cell>
          <cell r="D539" t="str">
            <v>TE</v>
          </cell>
        </row>
        <row r="540">
          <cell r="B540" t="str">
            <v>Josiah Deguara</v>
          </cell>
          <cell r="C540" t="str">
            <v>JAX</v>
          </cell>
          <cell r="D540" t="str">
            <v>TE</v>
          </cell>
        </row>
        <row r="541">
          <cell r="B541" t="str">
            <v>Ross Dwelley</v>
          </cell>
          <cell r="C541" t="str">
            <v>ATL</v>
          </cell>
          <cell r="D541" t="str">
            <v>TE</v>
          </cell>
        </row>
        <row r="542">
          <cell r="B542" t="str">
            <v>John FitzPatrick</v>
          </cell>
          <cell r="C542" t="str">
            <v>GB</v>
          </cell>
          <cell r="D542" t="str">
            <v>TE</v>
          </cell>
        </row>
        <row r="543">
          <cell r="B543" t="str">
            <v>Joe Fortson</v>
          </cell>
          <cell r="C543" t="str">
            <v>KC</v>
          </cell>
          <cell r="D543" t="str">
            <v>TE</v>
          </cell>
        </row>
        <row r="544">
          <cell r="B544" t="str">
            <v>Brevin Jordan</v>
          </cell>
          <cell r="C544" t="str">
            <v>HOU</v>
          </cell>
          <cell r="D544" t="str">
            <v>TE</v>
          </cell>
        </row>
        <row r="545">
          <cell r="B545" t="str">
            <v>Marcedes Lewis</v>
          </cell>
          <cell r="C545" t="str">
            <v>CHI</v>
          </cell>
          <cell r="D545" t="str">
            <v>TE</v>
          </cell>
        </row>
        <row r="546">
          <cell r="B546" t="str">
            <v>David Martin-Robinson</v>
          </cell>
          <cell r="C546" t="str">
            <v>TEN</v>
          </cell>
          <cell r="D546" t="str">
            <v>TE</v>
          </cell>
        </row>
        <row r="547">
          <cell r="B547" t="str">
            <v>John Samuel Shenker</v>
          </cell>
          <cell r="C547" t="str">
            <v>LV</v>
          </cell>
          <cell r="D547" t="str">
            <v>TE</v>
          </cell>
        </row>
        <row r="548">
          <cell r="B548" t="str">
            <v>Durham Smythe</v>
          </cell>
          <cell r="C548" t="str">
            <v>MIA</v>
          </cell>
          <cell r="D548" t="str">
            <v>TE</v>
          </cell>
        </row>
        <row r="549">
          <cell r="B549" t="str">
            <v>Jack Stoll</v>
          </cell>
          <cell r="C549" t="str">
            <v>MIA</v>
          </cell>
          <cell r="D549" t="str">
            <v>TE</v>
          </cell>
        </row>
        <row r="550">
          <cell r="B550" t="str">
            <v>Geoff Swaim</v>
          </cell>
          <cell r="C550" t="str">
            <v>CLE</v>
          </cell>
          <cell r="D550" t="str">
            <v>TE</v>
          </cell>
        </row>
        <row r="551">
          <cell r="B551" t="str">
            <v>Ian Thomas</v>
          </cell>
          <cell r="C551" t="str">
            <v>CAR</v>
          </cell>
          <cell r="D551" t="str">
            <v>TE</v>
          </cell>
        </row>
        <row r="552">
          <cell r="B552" t="str">
            <v>Eric Tomlinson</v>
          </cell>
          <cell r="C552" t="str">
            <v>LAC</v>
          </cell>
          <cell r="D552" t="str">
            <v>TE</v>
          </cell>
        </row>
        <row r="553">
          <cell r="B553" t="str">
            <v>Jared Wiley</v>
          </cell>
          <cell r="C553" t="str">
            <v>KC</v>
          </cell>
          <cell r="D553" t="str">
            <v>TE</v>
          </cell>
        </row>
      </sheetData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53"/>
  <sheetViews>
    <sheetView workbookViewId="0">
      <selection activeCell="U11" sqref="U11"/>
    </sheetView>
  </sheetViews>
  <sheetFormatPr defaultRowHeight="14.25" x14ac:dyDescent="0.45"/>
  <cols>
    <col min="1" max="1" width="23.53125" style="1" bestFit="1" customWidth="1"/>
    <col min="2" max="2" width="3.9296875" style="1" bestFit="1" customWidth="1"/>
    <col min="3" max="20" width="5.06640625" style="1" bestFit="1" customWidth="1"/>
    <col min="21" max="21" width="13.46484375" style="1" bestFit="1" customWidth="1"/>
    <col min="22" max="22" width="6.73046875" bestFit="1" customWidth="1"/>
    <col min="23" max="23" width="6.73046875" customWidth="1"/>
  </cols>
  <sheetData>
    <row r="1" spans="1:24" s="6" customFormat="1" x14ac:dyDescent="0.45">
      <c r="A1" s="4" t="s">
        <v>0</v>
      </c>
      <c r="B1" s="4" t="s">
        <v>1</v>
      </c>
      <c r="C1" s="5">
        <v>1</v>
      </c>
      <c r="D1" s="5">
        <v>2</v>
      </c>
      <c r="E1" s="5">
        <v>3</v>
      </c>
      <c r="F1" s="5">
        <v>4</v>
      </c>
      <c r="G1" s="5">
        <v>5</v>
      </c>
      <c r="H1" s="5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5">
        <v>13</v>
      </c>
      <c r="P1" s="5">
        <v>14</v>
      </c>
      <c r="Q1" s="5">
        <v>15</v>
      </c>
      <c r="R1" s="5">
        <v>16</v>
      </c>
      <c r="S1" s="5">
        <v>17</v>
      </c>
      <c r="T1" s="5">
        <v>18</v>
      </c>
      <c r="U1" s="5" t="s">
        <v>2</v>
      </c>
      <c r="V1" s="6" t="s">
        <v>3</v>
      </c>
      <c r="W1" s="6" t="s">
        <v>564</v>
      </c>
      <c r="X1" s="6" t="s">
        <v>560</v>
      </c>
    </row>
    <row r="2" spans="1:24" x14ac:dyDescent="0.45">
      <c r="A2" s="1" t="s">
        <v>4</v>
      </c>
      <c r="B2" s="1" t="s">
        <v>5</v>
      </c>
      <c r="C2" s="2">
        <v>25.12</v>
      </c>
      <c r="D2" s="2">
        <v>16.380000000000003</v>
      </c>
      <c r="E2" s="2">
        <v>25.980000000000004</v>
      </c>
      <c r="F2" s="2">
        <v>23.64</v>
      </c>
      <c r="G2" s="2">
        <v>33.42</v>
      </c>
      <c r="H2" s="2">
        <v>18.920000000000002</v>
      </c>
      <c r="I2" s="2">
        <v>34.440000000000005</v>
      </c>
      <c r="J2" s="2">
        <v>24.160000000000004</v>
      </c>
      <c r="K2" s="2">
        <v>23.6</v>
      </c>
      <c r="L2" s="2">
        <v>32.900000000000006</v>
      </c>
      <c r="M2" s="2">
        <v>14.879999999999999</v>
      </c>
      <c r="N2" s="2">
        <v>22.58</v>
      </c>
      <c r="O2" s="2">
        <v>25.380000000000003</v>
      </c>
      <c r="P2" s="2">
        <v>0</v>
      </c>
      <c r="Q2" s="2">
        <v>36.1</v>
      </c>
      <c r="R2" s="2">
        <v>20.48</v>
      </c>
      <c r="S2" s="2">
        <v>29.42</v>
      </c>
      <c r="T2" s="2">
        <v>22.98</v>
      </c>
      <c r="U2" s="1">
        <f>COUNTIF(C2:T2,"&gt;"&amp;VLOOKUP(B2,MetaTable,3,FALSE))</f>
        <v>15</v>
      </c>
      <c r="V2">
        <v>430.38</v>
      </c>
      <c r="W2">
        <f>V2/MAX(1,COUNTIF(C2:T2,"&gt;1"))</f>
        <v>25.316470588235294</v>
      </c>
    </row>
    <row r="3" spans="1:24" x14ac:dyDescent="0.45">
      <c r="A3" s="1" t="s">
        <v>6</v>
      </c>
      <c r="B3" s="1" t="s">
        <v>5</v>
      </c>
      <c r="C3" s="2">
        <v>29.660000000000004</v>
      </c>
      <c r="D3" s="2">
        <v>18.8</v>
      </c>
      <c r="E3" s="2">
        <v>8.52</v>
      </c>
      <c r="F3" s="2">
        <v>28.880000000000003</v>
      </c>
      <c r="G3" s="2">
        <v>23.4</v>
      </c>
      <c r="H3" s="2">
        <v>25.9</v>
      </c>
      <c r="I3" s="2">
        <v>27</v>
      </c>
      <c r="J3" s="2">
        <v>22.300000000000004</v>
      </c>
      <c r="K3" s="2">
        <v>18</v>
      </c>
      <c r="L3" s="2">
        <v>8.9400000000000013</v>
      </c>
      <c r="M3" s="2">
        <v>0</v>
      </c>
      <c r="N3" s="2">
        <v>18.66</v>
      </c>
      <c r="O3" s="2">
        <v>10.200000000000001</v>
      </c>
      <c r="P3" s="2">
        <v>19</v>
      </c>
      <c r="Q3" s="2">
        <v>28.02</v>
      </c>
      <c r="R3" s="2">
        <v>22.32</v>
      </c>
      <c r="S3" s="2">
        <v>34.56</v>
      </c>
      <c r="T3" s="2">
        <v>21.64</v>
      </c>
      <c r="U3" s="1">
        <f>COUNTIF(C3:T3,"&gt;"&amp;VLOOKUP(B3,MetaTable,3,FALSE))</f>
        <v>14</v>
      </c>
      <c r="V3">
        <v>365.8</v>
      </c>
      <c r="W3">
        <f t="shared" ref="W3:W66" si="0">V3/MAX(1,COUNTIF(C3:T3,"&gt;1"))</f>
        <v>21.517647058823531</v>
      </c>
    </row>
    <row r="4" spans="1:24" x14ac:dyDescent="0.45">
      <c r="A4" s="1" t="s">
        <v>7</v>
      </c>
      <c r="B4" s="1" t="s">
        <v>5</v>
      </c>
      <c r="C4" s="2">
        <v>8.06</v>
      </c>
      <c r="D4" s="2">
        <v>17.22</v>
      </c>
      <c r="E4" s="2">
        <v>25.36</v>
      </c>
      <c r="F4" s="2">
        <v>16.28</v>
      </c>
      <c r="G4" s="2">
        <v>33.78</v>
      </c>
      <c r="H4" s="2">
        <v>19.82</v>
      </c>
      <c r="I4" s="2">
        <v>14.94</v>
      </c>
      <c r="J4" s="2">
        <v>12.86</v>
      </c>
      <c r="K4" s="2">
        <v>29.14</v>
      </c>
      <c r="L4" s="2">
        <v>33.720000000000006</v>
      </c>
      <c r="M4" s="2">
        <v>29.040000000000003</v>
      </c>
      <c r="N4" s="2">
        <v>0</v>
      </c>
      <c r="O4" s="2">
        <v>19.259999999999998</v>
      </c>
      <c r="P4" s="2">
        <v>24.56</v>
      </c>
      <c r="Q4" s="2">
        <v>16.84</v>
      </c>
      <c r="R4" s="2">
        <v>21.979999999999997</v>
      </c>
      <c r="S4" s="2">
        <v>36.980000000000004</v>
      </c>
      <c r="T4" s="2">
        <v>12.98</v>
      </c>
      <c r="U4" s="1">
        <f>COUNTIF(C4:T4,"&gt;"&amp;VLOOKUP(B4,MetaTable,3,FALSE))</f>
        <v>11</v>
      </c>
      <c r="V4">
        <v>372.82</v>
      </c>
      <c r="W4">
        <f t="shared" si="0"/>
        <v>21.930588235294117</v>
      </c>
    </row>
    <row r="5" spans="1:24" x14ac:dyDescent="0.45">
      <c r="A5" s="1" t="s">
        <v>8</v>
      </c>
      <c r="B5" s="1" t="s">
        <v>5</v>
      </c>
      <c r="C5" s="2">
        <v>16.420000000000002</v>
      </c>
      <c r="D5" s="2">
        <v>23.82</v>
      </c>
      <c r="E5" s="2">
        <v>10.94</v>
      </c>
      <c r="F5" s="2">
        <v>16.32</v>
      </c>
      <c r="G5" s="2">
        <v>0</v>
      </c>
      <c r="H5" s="2">
        <v>21.860000000000003</v>
      </c>
      <c r="I5" s="2">
        <v>22.76</v>
      </c>
      <c r="J5" s="2">
        <v>35.14</v>
      </c>
      <c r="K5" s="2">
        <v>29.900000000000002</v>
      </c>
      <c r="L5" s="2">
        <v>29.68</v>
      </c>
      <c r="M5" s="2">
        <v>18.740000000000002</v>
      </c>
      <c r="N5" s="2">
        <v>15.06</v>
      </c>
      <c r="O5" s="2">
        <v>17.619999999999997</v>
      </c>
      <c r="P5" s="2">
        <v>24.22</v>
      </c>
      <c r="Q5" s="2">
        <v>28.1</v>
      </c>
      <c r="R5" s="2">
        <v>4.5400000000000009</v>
      </c>
      <c r="S5" s="2">
        <v>0</v>
      </c>
      <c r="T5" s="2">
        <v>0</v>
      </c>
      <c r="U5" s="1">
        <f>COUNTIF(C5:T5,"&gt;"&amp;VLOOKUP(B5,MetaTable,3,FALSE))</f>
        <v>10</v>
      </c>
      <c r="V5">
        <v>315.12</v>
      </c>
      <c r="W5">
        <f t="shared" si="0"/>
        <v>21.007999999999999</v>
      </c>
    </row>
    <row r="6" spans="1:24" x14ac:dyDescent="0.45">
      <c r="A6" s="1" t="s">
        <v>9</v>
      </c>
      <c r="B6" s="1" t="s">
        <v>5</v>
      </c>
      <c r="C6" s="2">
        <v>31.18</v>
      </c>
      <c r="D6" s="2">
        <v>9.76</v>
      </c>
      <c r="E6" s="2">
        <v>30.92</v>
      </c>
      <c r="F6" s="2">
        <v>7.3000000000000007</v>
      </c>
      <c r="G6" s="2">
        <v>14.64</v>
      </c>
      <c r="H6" s="2">
        <v>24.400000000000002</v>
      </c>
      <c r="I6" s="2">
        <v>21.020000000000003</v>
      </c>
      <c r="J6" s="2">
        <v>19.82</v>
      </c>
      <c r="K6" s="2">
        <v>22.099999999999998</v>
      </c>
      <c r="L6" s="2">
        <v>18.200000000000003</v>
      </c>
      <c r="M6" s="2">
        <v>23.98</v>
      </c>
      <c r="N6" s="2">
        <v>0</v>
      </c>
      <c r="O6" s="2">
        <v>28.419999999999998</v>
      </c>
      <c r="P6" s="2">
        <v>51.88</v>
      </c>
      <c r="Q6" s="2">
        <v>41.28</v>
      </c>
      <c r="R6" s="2">
        <v>11.16</v>
      </c>
      <c r="S6" s="2">
        <v>22.98</v>
      </c>
      <c r="T6" s="2">
        <v>0</v>
      </c>
      <c r="U6" s="1">
        <f>COUNTIF(C6:T6,"&gt;"&amp;VLOOKUP(B6,MetaTable,3,FALSE))</f>
        <v>12</v>
      </c>
      <c r="V6">
        <v>379.04</v>
      </c>
      <c r="W6">
        <f t="shared" si="0"/>
        <v>23.69</v>
      </c>
    </row>
    <row r="7" spans="1:24" x14ac:dyDescent="0.45">
      <c r="A7" s="1" t="s">
        <v>10</v>
      </c>
      <c r="B7" s="1" t="s">
        <v>5</v>
      </c>
      <c r="C7" s="2">
        <v>28.16</v>
      </c>
      <c r="D7" s="2">
        <v>13.440000000000001</v>
      </c>
      <c r="E7" s="2">
        <v>28.060000000000002</v>
      </c>
      <c r="F7" s="2">
        <v>24.02</v>
      </c>
      <c r="G7" s="2">
        <v>19.72</v>
      </c>
      <c r="H7" s="2">
        <v>20.959999999999997</v>
      </c>
      <c r="I7" s="2">
        <v>5.24</v>
      </c>
      <c r="J7" s="2">
        <v>22.24</v>
      </c>
      <c r="K7" s="2">
        <v>19.86</v>
      </c>
      <c r="L7" s="2">
        <v>8.58</v>
      </c>
      <c r="M7" s="2">
        <v>13.440000000000001</v>
      </c>
      <c r="N7" s="2">
        <v>30.4</v>
      </c>
      <c r="O7" s="2">
        <v>27.64</v>
      </c>
      <c r="P7" s="2">
        <v>0</v>
      </c>
      <c r="Q7" s="2">
        <v>23.64</v>
      </c>
      <c r="R7" s="2">
        <v>34.42</v>
      </c>
      <c r="S7" s="2">
        <v>31.78</v>
      </c>
      <c r="T7" s="2">
        <v>4.2200000000000006</v>
      </c>
      <c r="U7" s="1">
        <f>COUNTIF(C7:T7,"&gt;"&amp;VLOOKUP(B7,MetaTable,3,FALSE))</f>
        <v>12</v>
      </c>
      <c r="V7">
        <v>355.82</v>
      </c>
      <c r="W7">
        <f t="shared" si="0"/>
        <v>20.930588235294117</v>
      </c>
    </row>
    <row r="8" spans="1:24" x14ac:dyDescent="0.45">
      <c r="A8" s="1" t="s">
        <v>11</v>
      </c>
      <c r="B8" s="1" t="s">
        <v>5</v>
      </c>
      <c r="C8" s="2">
        <v>14.620000000000001</v>
      </c>
      <c r="D8" s="2">
        <v>19.919999999999998</v>
      </c>
      <c r="E8" s="2">
        <v>23.240000000000002</v>
      </c>
      <c r="F8" s="2">
        <v>20.5</v>
      </c>
      <c r="G8" s="2">
        <v>4.26</v>
      </c>
      <c r="H8" s="2">
        <v>0</v>
      </c>
      <c r="I8" s="2">
        <v>16.259999999999998</v>
      </c>
      <c r="J8" s="2">
        <v>18.200000000000003</v>
      </c>
      <c r="K8" s="2">
        <v>19</v>
      </c>
      <c r="L8" s="2">
        <v>6.4400000000000013</v>
      </c>
      <c r="M8" s="2">
        <v>23.64</v>
      </c>
      <c r="N8" s="2">
        <v>21.1</v>
      </c>
      <c r="O8" s="2">
        <v>19.599999999999998</v>
      </c>
      <c r="P8" s="2">
        <v>34.580000000000005</v>
      </c>
      <c r="Q8" s="2">
        <v>11.24</v>
      </c>
      <c r="R8" s="2">
        <v>22.94</v>
      </c>
      <c r="S8" s="2">
        <v>24.779999999999998</v>
      </c>
      <c r="T8" s="2">
        <v>7.6400000000000006</v>
      </c>
      <c r="U8" s="1">
        <f>COUNTIF(C8:T8,"&gt;"&amp;VLOOKUP(B8,MetaTable,3,FALSE))</f>
        <v>11</v>
      </c>
      <c r="V8">
        <v>307.95999999999998</v>
      </c>
      <c r="W8">
        <f t="shared" si="0"/>
        <v>18.115294117647057</v>
      </c>
    </row>
    <row r="9" spans="1:24" x14ac:dyDescent="0.45">
      <c r="A9" s="1" t="s">
        <v>12</v>
      </c>
      <c r="B9" s="1" t="s">
        <v>5</v>
      </c>
      <c r="C9" s="2">
        <v>11.02</v>
      </c>
      <c r="D9" s="2">
        <v>8.34</v>
      </c>
      <c r="E9" s="2">
        <v>19.34</v>
      </c>
      <c r="F9" s="2">
        <v>6.7</v>
      </c>
      <c r="G9" s="2">
        <v>23.14</v>
      </c>
      <c r="H9" s="2">
        <v>20.740000000000002</v>
      </c>
      <c r="I9" s="2">
        <v>14.06</v>
      </c>
      <c r="J9" s="2">
        <v>29.759999999999998</v>
      </c>
      <c r="K9" s="2">
        <v>17.22</v>
      </c>
      <c r="L9" s="2">
        <v>16.100000000000001</v>
      </c>
      <c r="M9" s="2">
        <v>28.78</v>
      </c>
      <c r="N9" s="2">
        <v>19.420000000000002</v>
      </c>
      <c r="O9" s="2">
        <v>12.16</v>
      </c>
      <c r="P9" s="2">
        <v>0</v>
      </c>
      <c r="Q9" s="2">
        <v>13.5</v>
      </c>
      <c r="R9" s="2">
        <v>21.02</v>
      </c>
      <c r="S9" s="2">
        <v>21.86</v>
      </c>
      <c r="T9" s="2">
        <v>33.54</v>
      </c>
      <c r="U9" s="1">
        <f>COUNTIF(C9:T9,"&gt;"&amp;VLOOKUP(B9,MetaTable,3,FALSE))</f>
        <v>10</v>
      </c>
      <c r="V9">
        <v>316.7</v>
      </c>
      <c r="W9">
        <f t="shared" si="0"/>
        <v>18.629411764705882</v>
      </c>
    </row>
    <row r="10" spans="1:24" x14ac:dyDescent="0.45">
      <c r="A10" s="1" t="s">
        <v>13</v>
      </c>
      <c r="B10" s="1" t="s">
        <v>5</v>
      </c>
      <c r="C10" s="2">
        <v>11.379999999999999</v>
      </c>
      <c r="D10" s="2">
        <v>8.7800000000000011</v>
      </c>
      <c r="E10" s="2">
        <v>14.56</v>
      </c>
      <c r="F10" s="2">
        <v>26.68</v>
      </c>
      <c r="G10" s="2">
        <v>0</v>
      </c>
      <c r="H10" s="2">
        <v>25.1</v>
      </c>
      <c r="I10" s="2">
        <v>18.800000000000004</v>
      </c>
      <c r="J10" s="2">
        <v>15.5</v>
      </c>
      <c r="K10" s="2">
        <v>9.6000000000000014</v>
      </c>
      <c r="L10" s="2">
        <v>7.8000000000000016</v>
      </c>
      <c r="M10" s="2">
        <v>34.580000000000005</v>
      </c>
      <c r="N10" s="2">
        <v>10.76</v>
      </c>
      <c r="O10" s="2">
        <v>16.940000000000001</v>
      </c>
      <c r="P10" s="2">
        <v>22.02</v>
      </c>
      <c r="Q10" s="2">
        <v>41.06</v>
      </c>
      <c r="R10" s="2">
        <v>25.339999999999996</v>
      </c>
      <c r="S10" s="2">
        <v>25.82</v>
      </c>
      <c r="T10" s="2">
        <v>9.24</v>
      </c>
      <c r="U10" s="1">
        <f>COUNTIF(C10:T10,"&gt;"&amp;VLOOKUP(B10,MetaTable,3,FALSE))</f>
        <v>8</v>
      </c>
      <c r="V10">
        <v>323.95999999999998</v>
      </c>
      <c r="W10">
        <f t="shared" si="0"/>
        <v>19.056470588235292</v>
      </c>
    </row>
    <row r="11" spans="1:24" x14ac:dyDescent="0.45">
      <c r="A11" s="1" t="s">
        <v>14</v>
      </c>
      <c r="B11" s="1" t="s">
        <v>5</v>
      </c>
      <c r="C11" s="2">
        <v>14.18</v>
      </c>
      <c r="D11" s="2">
        <v>28.54</v>
      </c>
      <c r="E11" s="2">
        <v>14.78</v>
      </c>
      <c r="F11" s="2">
        <v>9.98</v>
      </c>
      <c r="G11" s="2">
        <v>24.1</v>
      </c>
      <c r="H11" s="2">
        <v>11.96</v>
      </c>
      <c r="I11" s="2">
        <v>20.200000000000003</v>
      </c>
      <c r="J11" s="2">
        <v>22.18</v>
      </c>
      <c r="K11" s="2">
        <v>4.76</v>
      </c>
      <c r="L11" s="2">
        <v>28.740000000000002</v>
      </c>
      <c r="M11" s="2">
        <v>0</v>
      </c>
      <c r="N11" s="2">
        <v>10.3</v>
      </c>
      <c r="O11" s="2">
        <v>15.200000000000001</v>
      </c>
      <c r="P11" s="2">
        <v>17.96</v>
      </c>
      <c r="Q11" s="2">
        <v>10.06</v>
      </c>
      <c r="R11" s="2">
        <v>20.380000000000003</v>
      </c>
      <c r="S11" s="2">
        <v>16.04</v>
      </c>
      <c r="T11" s="2">
        <v>27.88</v>
      </c>
      <c r="U11" s="1">
        <f>COUNTIF(C11:T11,"&gt;"&amp;VLOOKUP(B11,MetaTable,3,FALSE))</f>
        <v>8</v>
      </c>
      <c r="V11">
        <v>297.24</v>
      </c>
      <c r="W11">
        <f t="shared" si="0"/>
        <v>17.484705882352941</v>
      </c>
    </row>
    <row r="12" spans="1:24" x14ac:dyDescent="0.45">
      <c r="A12" s="1" t="s">
        <v>15</v>
      </c>
      <c r="B12" s="1" t="s">
        <v>5</v>
      </c>
      <c r="C12" s="2">
        <v>14.64</v>
      </c>
      <c r="D12" s="2">
        <v>12.94</v>
      </c>
      <c r="E12" s="2">
        <v>16.38</v>
      </c>
      <c r="F12" s="2">
        <v>13</v>
      </c>
      <c r="G12" s="2">
        <v>13.440000000000001</v>
      </c>
      <c r="H12" s="2">
        <v>0</v>
      </c>
      <c r="I12" s="2">
        <v>12.06</v>
      </c>
      <c r="J12" s="2">
        <v>18.18</v>
      </c>
      <c r="K12" s="2">
        <v>24.54</v>
      </c>
      <c r="L12" s="2">
        <v>16.54</v>
      </c>
      <c r="M12" s="2">
        <v>15.84</v>
      </c>
      <c r="N12" s="2">
        <v>28.759999999999998</v>
      </c>
      <c r="O12" s="2">
        <v>16.64</v>
      </c>
      <c r="P12" s="2">
        <v>14.100000000000001</v>
      </c>
      <c r="Q12" s="2">
        <v>15.76</v>
      </c>
      <c r="R12" s="2">
        <v>23.7</v>
      </c>
      <c r="S12" s="2">
        <v>26</v>
      </c>
      <c r="T12" s="2">
        <v>0</v>
      </c>
      <c r="U12" s="1">
        <f>COUNTIF(C12:T12,"&gt;"&amp;VLOOKUP(B12,MetaTable,3,FALSE))</f>
        <v>5</v>
      </c>
      <c r="V12">
        <v>282.52</v>
      </c>
      <c r="W12">
        <f t="shared" si="0"/>
        <v>17.657499999999999</v>
      </c>
    </row>
    <row r="13" spans="1:24" x14ac:dyDescent="0.45">
      <c r="A13" s="1" t="s">
        <v>16</v>
      </c>
      <c r="B13" s="1" t="s">
        <v>5</v>
      </c>
      <c r="C13" s="2">
        <v>10.34</v>
      </c>
      <c r="D13" s="2">
        <v>13.959999999999997</v>
      </c>
      <c r="E13" s="2">
        <v>25.78</v>
      </c>
      <c r="F13" s="2">
        <v>14.62</v>
      </c>
      <c r="G13" s="2">
        <v>13.06</v>
      </c>
      <c r="H13" s="2">
        <v>24.1</v>
      </c>
      <c r="I13" s="2">
        <v>17.18</v>
      </c>
      <c r="J13" s="2">
        <v>26</v>
      </c>
      <c r="K13" s="2">
        <v>0</v>
      </c>
      <c r="L13" s="2">
        <v>23.82</v>
      </c>
      <c r="M13" s="2">
        <v>18.36</v>
      </c>
      <c r="N13" s="2">
        <v>0</v>
      </c>
      <c r="O13" s="2">
        <v>2.16</v>
      </c>
      <c r="P13" s="2">
        <v>22.1</v>
      </c>
      <c r="Q13" s="2">
        <v>3.9799999999999995</v>
      </c>
      <c r="R13" s="2">
        <v>21.12</v>
      </c>
      <c r="S13" s="2">
        <v>30.279999999999998</v>
      </c>
      <c r="T13" s="2">
        <v>0</v>
      </c>
      <c r="U13" s="1">
        <f>COUNTIF(C13:T13,"&gt;"&amp;VLOOKUP(B13,MetaTable,3,FALSE))</f>
        <v>9</v>
      </c>
      <c r="V13">
        <v>266.86</v>
      </c>
      <c r="W13">
        <f t="shared" si="0"/>
        <v>17.790666666666667</v>
      </c>
    </row>
    <row r="14" spans="1:24" x14ac:dyDescent="0.45">
      <c r="A14" s="1" t="s">
        <v>17</v>
      </c>
      <c r="B14" s="1" t="s">
        <v>5</v>
      </c>
      <c r="C14" s="2">
        <v>17.84</v>
      </c>
      <c r="D14" s="2">
        <v>17.88</v>
      </c>
      <c r="E14" s="2">
        <v>11.360000000000001</v>
      </c>
      <c r="F14" s="2">
        <v>21.6</v>
      </c>
      <c r="G14" s="2">
        <v>22.56</v>
      </c>
      <c r="H14" s="2">
        <v>12.48</v>
      </c>
      <c r="I14" s="2">
        <v>17.78</v>
      </c>
      <c r="J14" s="2">
        <v>8.08</v>
      </c>
      <c r="K14" s="2">
        <v>22.12</v>
      </c>
      <c r="L14" s="2">
        <v>0</v>
      </c>
      <c r="M14" s="2">
        <v>15.74</v>
      </c>
      <c r="N14" s="2">
        <v>12.36</v>
      </c>
      <c r="O14" s="2">
        <v>12.44</v>
      </c>
      <c r="P14" s="2">
        <v>13.32</v>
      </c>
      <c r="Q14" s="2">
        <v>4.46</v>
      </c>
      <c r="R14" s="2">
        <v>21.360000000000003</v>
      </c>
      <c r="S14" s="2">
        <v>8.3000000000000007</v>
      </c>
      <c r="T14" s="2">
        <v>26.32</v>
      </c>
      <c r="U14" s="1">
        <f>COUNTIF(C14:T14,"&gt;"&amp;VLOOKUP(B14,MetaTable,3,FALSE))</f>
        <v>8</v>
      </c>
      <c r="V14">
        <v>266</v>
      </c>
      <c r="W14">
        <f t="shared" si="0"/>
        <v>15.647058823529411</v>
      </c>
    </row>
    <row r="15" spans="1:24" x14ac:dyDescent="0.45">
      <c r="A15" s="1" t="s">
        <v>18</v>
      </c>
      <c r="B15" s="1" t="s">
        <v>5</v>
      </c>
      <c r="C15" s="2">
        <v>8.58</v>
      </c>
      <c r="D15" s="2">
        <v>15.139999999999999</v>
      </c>
      <c r="E15" s="2">
        <v>21.040000000000003</v>
      </c>
      <c r="F15" s="2">
        <v>11.6</v>
      </c>
      <c r="G15" s="2">
        <v>11.759999999999998</v>
      </c>
      <c r="H15" s="2">
        <v>17.759999999999998</v>
      </c>
      <c r="I15" s="2">
        <v>13.040000000000001</v>
      </c>
      <c r="J15" s="2">
        <v>17.32</v>
      </c>
      <c r="K15" s="2">
        <v>20.339999999999996</v>
      </c>
      <c r="L15" s="2">
        <v>4.04</v>
      </c>
      <c r="M15" s="2">
        <v>16.059999999999999</v>
      </c>
      <c r="N15" s="2">
        <v>0</v>
      </c>
      <c r="O15" s="2">
        <v>14</v>
      </c>
      <c r="P15" s="2">
        <v>17.560000000000002</v>
      </c>
      <c r="Q15" s="2">
        <v>30.060000000000002</v>
      </c>
      <c r="R15" s="2">
        <v>12.84</v>
      </c>
      <c r="S15" s="2">
        <v>0.48000000000000043</v>
      </c>
      <c r="T15" s="2">
        <v>24.96</v>
      </c>
      <c r="U15" s="1">
        <f>COUNTIF(C15:T15,"&gt;"&amp;VLOOKUP(B15,MetaTable,3,FALSE))</f>
        <v>7</v>
      </c>
      <c r="V15">
        <v>256.58</v>
      </c>
      <c r="W15">
        <f t="shared" si="0"/>
        <v>16.036249999999999</v>
      </c>
    </row>
    <row r="16" spans="1:24" x14ac:dyDescent="0.45">
      <c r="A16" s="1" t="s">
        <v>19</v>
      </c>
      <c r="B16" s="1" t="s">
        <v>5</v>
      </c>
      <c r="C16" s="2">
        <v>10.36</v>
      </c>
      <c r="D16" s="2">
        <v>11</v>
      </c>
      <c r="E16" s="2">
        <v>9</v>
      </c>
      <c r="F16" s="2">
        <v>11.16</v>
      </c>
      <c r="G16" s="2">
        <v>0</v>
      </c>
      <c r="H16" s="2">
        <v>13.68</v>
      </c>
      <c r="I16" s="2">
        <v>14.760000000000002</v>
      </c>
      <c r="J16" s="2">
        <v>24.060000000000002</v>
      </c>
      <c r="K16" s="2">
        <v>19.48</v>
      </c>
      <c r="L16" s="2">
        <v>19.760000000000002</v>
      </c>
      <c r="M16" s="2">
        <v>24.380000000000003</v>
      </c>
      <c r="N16" s="2">
        <v>17.62</v>
      </c>
      <c r="O16" s="2">
        <v>7.9799999999999995</v>
      </c>
      <c r="P16" s="2">
        <v>13.719999999999999</v>
      </c>
      <c r="Q16" s="2">
        <v>13.8</v>
      </c>
      <c r="R16" s="2">
        <v>22.16</v>
      </c>
      <c r="S16" s="2">
        <v>24.44</v>
      </c>
      <c r="T16" s="2">
        <v>28.04</v>
      </c>
      <c r="U16" s="1">
        <f>COUNTIF(C16:T16,"&gt;"&amp;VLOOKUP(B16,MetaTable,3,FALSE))</f>
        <v>8</v>
      </c>
      <c r="V16">
        <v>285.39999999999998</v>
      </c>
      <c r="W16">
        <f t="shared" si="0"/>
        <v>16.788235294117644</v>
      </c>
    </row>
    <row r="17" spans="1:23" x14ac:dyDescent="0.45">
      <c r="A17" s="1" t="s">
        <v>20</v>
      </c>
      <c r="B17" s="1" t="s">
        <v>5</v>
      </c>
      <c r="C17" s="2">
        <v>16.399999999999999</v>
      </c>
      <c r="D17" s="2">
        <v>0</v>
      </c>
      <c r="E17" s="2">
        <v>0</v>
      </c>
      <c r="F17" s="2">
        <v>28.160000000000004</v>
      </c>
      <c r="G17" s="2">
        <v>15.96</v>
      </c>
      <c r="H17" s="2">
        <v>25.62</v>
      </c>
      <c r="I17" s="2">
        <v>16.8</v>
      </c>
      <c r="J17" s="2">
        <v>5.74</v>
      </c>
      <c r="K17" s="2">
        <v>10.92</v>
      </c>
      <c r="L17" s="2">
        <v>0</v>
      </c>
      <c r="M17" s="2">
        <v>20.240000000000002</v>
      </c>
      <c r="N17" s="2">
        <v>14.719999999999999</v>
      </c>
      <c r="O17" s="2">
        <v>18.96</v>
      </c>
      <c r="P17" s="2">
        <v>14.540000000000001</v>
      </c>
      <c r="Q17" s="2">
        <v>17.559999999999999</v>
      </c>
      <c r="R17" s="2">
        <v>11.48</v>
      </c>
      <c r="S17" s="2">
        <v>14</v>
      </c>
      <c r="T17" s="2">
        <v>2.7600000000000002</v>
      </c>
      <c r="U17" s="1">
        <f>COUNTIF(C17:T17,"&gt;"&amp;VLOOKUP(B17,MetaTable,3,FALSE))</f>
        <v>5</v>
      </c>
      <c r="V17">
        <v>233.86</v>
      </c>
      <c r="W17">
        <f t="shared" si="0"/>
        <v>15.590666666666667</v>
      </c>
    </row>
    <row r="18" spans="1:23" x14ac:dyDescent="0.45">
      <c r="A18" s="1" t="s">
        <v>21</v>
      </c>
      <c r="B18" s="1" t="s">
        <v>5</v>
      </c>
      <c r="C18" s="2">
        <v>7.2200000000000006</v>
      </c>
      <c r="D18" s="2">
        <v>7.36</v>
      </c>
      <c r="E18" s="2">
        <v>17.32</v>
      </c>
      <c r="F18" s="2">
        <v>11.48</v>
      </c>
      <c r="G18" s="2">
        <v>23.560000000000002</v>
      </c>
      <c r="H18" s="2">
        <v>28.64</v>
      </c>
      <c r="I18" s="2">
        <v>0</v>
      </c>
      <c r="J18" s="2">
        <v>9.9400000000000013</v>
      </c>
      <c r="K18" s="2">
        <v>9.18</v>
      </c>
      <c r="L18" s="2">
        <v>6.3</v>
      </c>
      <c r="M18" s="2">
        <v>16.240000000000002</v>
      </c>
      <c r="N18" s="2">
        <v>26.900000000000002</v>
      </c>
      <c r="O18" s="2">
        <v>26.14</v>
      </c>
      <c r="P18" s="2">
        <v>14.059999999999999</v>
      </c>
      <c r="Q18" s="2">
        <v>9.9400000000000013</v>
      </c>
      <c r="R18" s="2">
        <v>22.759999999999998</v>
      </c>
      <c r="S18" s="2">
        <v>6.58</v>
      </c>
      <c r="T18" s="2">
        <v>10.92</v>
      </c>
      <c r="U18" s="1">
        <f>COUNTIF(C18:T18,"&gt;"&amp;VLOOKUP(B18,MetaTable,3,FALSE))</f>
        <v>6</v>
      </c>
      <c r="V18">
        <v>254.54</v>
      </c>
      <c r="W18">
        <f t="shared" si="0"/>
        <v>14.972941176470588</v>
      </c>
    </row>
    <row r="19" spans="1:23" x14ac:dyDescent="0.45">
      <c r="A19" s="1" t="s">
        <v>22</v>
      </c>
      <c r="B19" s="1" t="s">
        <v>5</v>
      </c>
      <c r="C19" s="2">
        <v>0</v>
      </c>
      <c r="D19" s="2">
        <v>0</v>
      </c>
      <c r="E19" s="2">
        <v>2.08</v>
      </c>
      <c r="F19" s="2">
        <v>0</v>
      </c>
      <c r="G19" s="2">
        <v>0</v>
      </c>
      <c r="H19" s="2">
        <v>19.52</v>
      </c>
      <c r="I19" s="2">
        <v>20.84</v>
      </c>
      <c r="J19" s="2">
        <v>11.52</v>
      </c>
      <c r="K19" s="2">
        <v>15.740000000000002</v>
      </c>
      <c r="L19" s="2">
        <v>11.76</v>
      </c>
      <c r="M19" s="2">
        <v>17.98</v>
      </c>
      <c r="N19" s="2">
        <v>13.48</v>
      </c>
      <c r="O19" s="2">
        <v>19.420000000000002</v>
      </c>
      <c r="P19" s="2">
        <v>0</v>
      </c>
      <c r="Q19" s="2">
        <v>17.48</v>
      </c>
      <c r="R19" s="2">
        <v>17.439999999999998</v>
      </c>
      <c r="S19" s="2">
        <v>9.879999999999999</v>
      </c>
      <c r="T19" s="2">
        <v>0</v>
      </c>
      <c r="U19" s="1">
        <f>COUNTIF(C19:T19,"&gt;"&amp;VLOOKUP(B19,MetaTable,3,FALSE))</f>
        <v>6</v>
      </c>
      <c r="V19">
        <v>177.14</v>
      </c>
      <c r="W19">
        <f t="shared" si="0"/>
        <v>14.761666666666665</v>
      </c>
    </row>
    <row r="20" spans="1:23" x14ac:dyDescent="0.45">
      <c r="A20" s="1" t="s">
        <v>23</v>
      </c>
      <c r="B20" s="1" t="s">
        <v>5</v>
      </c>
      <c r="C20" s="2">
        <v>18.66</v>
      </c>
      <c r="D20" s="2">
        <v>14.3</v>
      </c>
      <c r="E20" s="2">
        <v>9.8000000000000007</v>
      </c>
      <c r="F20" s="2">
        <v>23.5</v>
      </c>
      <c r="G20" s="2">
        <v>15.940000000000001</v>
      </c>
      <c r="H20" s="2">
        <v>18.38</v>
      </c>
      <c r="I20" s="2">
        <v>5.34</v>
      </c>
      <c r="J20" s="2">
        <v>12.4</v>
      </c>
      <c r="K20" s="2">
        <v>11.540000000000001</v>
      </c>
      <c r="L20" s="2">
        <v>9.7799999999999994</v>
      </c>
      <c r="M20" s="2">
        <v>10.879999999999999</v>
      </c>
      <c r="N20" s="2">
        <v>15.680000000000003</v>
      </c>
      <c r="O20" s="2">
        <v>14.379999999999999</v>
      </c>
      <c r="P20" s="2">
        <v>0</v>
      </c>
      <c r="Q20" s="2">
        <v>11.64</v>
      </c>
      <c r="R20" s="2">
        <v>16.059999999999999</v>
      </c>
      <c r="S20" s="2">
        <v>6.1000000000000005</v>
      </c>
      <c r="T20" s="2">
        <v>6</v>
      </c>
      <c r="U20" s="1">
        <f>COUNTIF(C20:T20,"&gt;"&amp;VLOOKUP(B20,MetaTable,3,FALSE))</f>
        <v>3</v>
      </c>
      <c r="V20">
        <v>220.38</v>
      </c>
      <c r="W20">
        <f t="shared" si="0"/>
        <v>12.963529411764705</v>
      </c>
    </row>
    <row r="21" spans="1:23" x14ac:dyDescent="0.45">
      <c r="A21" s="1" t="s">
        <v>24</v>
      </c>
      <c r="B21" s="1" t="s">
        <v>5</v>
      </c>
      <c r="C21" s="2">
        <v>14.68</v>
      </c>
      <c r="D21" s="2">
        <v>6.6400000000000006</v>
      </c>
      <c r="E21" s="2">
        <v>12.84</v>
      </c>
      <c r="F21" s="2">
        <v>4.8600000000000012</v>
      </c>
      <c r="G21" s="2">
        <v>12.4</v>
      </c>
      <c r="H21" s="2">
        <v>0</v>
      </c>
      <c r="I21" s="2">
        <v>3.96</v>
      </c>
      <c r="J21" s="2">
        <v>24.76</v>
      </c>
      <c r="K21" s="2">
        <v>17.920000000000002</v>
      </c>
      <c r="L21" s="2">
        <v>9.7200000000000006</v>
      </c>
      <c r="M21" s="2">
        <v>27.8</v>
      </c>
      <c r="N21" s="2">
        <v>19.22</v>
      </c>
      <c r="O21" s="2">
        <v>15.620000000000001</v>
      </c>
      <c r="P21" s="2">
        <v>20.8</v>
      </c>
      <c r="Q21" s="2">
        <v>8.2000000000000011</v>
      </c>
      <c r="R21" s="2">
        <v>6</v>
      </c>
      <c r="S21" s="2">
        <v>9.16</v>
      </c>
      <c r="T21" s="2">
        <v>0</v>
      </c>
      <c r="U21" s="1">
        <f>COUNTIF(C21:T21,"&gt;"&amp;VLOOKUP(B21,MetaTable,3,FALSE))</f>
        <v>5</v>
      </c>
      <c r="V21">
        <v>214.58</v>
      </c>
      <c r="W21">
        <f t="shared" si="0"/>
        <v>13.411250000000001</v>
      </c>
    </row>
    <row r="22" spans="1:23" x14ac:dyDescent="0.45">
      <c r="A22" s="1" t="s">
        <v>25</v>
      </c>
      <c r="B22" s="1" t="s">
        <v>5</v>
      </c>
      <c r="C22" s="2">
        <v>18.62</v>
      </c>
      <c r="D22" s="2">
        <v>5.5000000000000009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14.66</v>
      </c>
      <c r="K22" s="2">
        <v>17.540000000000003</v>
      </c>
      <c r="L22" s="2">
        <v>8.18</v>
      </c>
      <c r="M22" s="2">
        <v>23.52</v>
      </c>
      <c r="N22" s="2">
        <v>28.48</v>
      </c>
      <c r="O22" s="2">
        <v>25.200000000000003</v>
      </c>
      <c r="P22" s="2">
        <v>23.540000000000003</v>
      </c>
      <c r="Q22" s="2">
        <v>3.84</v>
      </c>
      <c r="R22" s="2">
        <v>12.5</v>
      </c>
      <c r="S22" s="2">
        <v>0</v>
      </c>
      <c r="T22" s="2">
        <v>0</v>
      </c>
      <c r="U22" s="1">
        <f>COUNTIF(C22:T22,"&gt;"&amp;VLOOKUP(B22,MetaTable,3,FALSE))</f>
        <v>6</v>
      </c>
      <c r="V22">
        <v>181.58</v>
      </c>
      <c r="W22">
        <f t="shared" si="0"/>
        <v>16.507272727272728</v>
      </c>
    </row>
    <row r="23" spans="1:23" x14ac:dyDescent="0.45">
      <c r="A23" s="1" t="s">
        <v>26</v>
      </c>
      <c r="B23" s="1" t="s">
        <v>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24.860000000000003</v>
      </c>
      <c r="J23" s="2">
        <v>13.82</v>
      </c>
      <c r="K23" s="2">
        <v>0</v>
      </c>
      <c r="L23" s="2">
        <v>18.100000000000001</v>
      </c>
      <c r="M23" s="2">
        <v>6.2999999999999989</v>
      </c>
      <c r="N23" s="2">
        <v>13.8</v>
      </c>
      <c r="O23" s="2">
        <v>26.86</v>
      </c>
      <c r="P23" s="2">
        <v>16.02</v>
      </c>
      <c r="Q23" s="2">
        <v>8.4200000000000017</v>
      </c>
      <c r="R23" s="2">
        <v>15.379999999999999</v>
      </c>
      <c r="S23" s="2">
        <v>17.7</v>
      </c>
      <c r="T23" s="2">
        <v>11.52</v>
      </c>
      <c r="U23" s="1">
        <f>COUNTIF(C23:T23,"&gt;"&amp;VLOOKUP(B23,MetaTable,3,FALSE))</f>
        <v>4</v>
      </c>
      <c r="V23">
        <v>172.78</v>
      </c>
      <c r="W23">
        <f t="shared" si="0"/>
        <v>15.707272727272727</v>
      </c>
    </row>
    <row r="24" spans="1:23" x14ac:dyDescent="0.45">
      <c r="A24" s="1" t="s">
        <v>27</v>
      </c>
      <c r="B24" s="1" t="s">
        <v>5</v>
      </c>
      <c r="C24" s="2">
        <v>9.64</v>
      </c>
      <c r="D24" s="2">
        <v>1.96</v>
      </c>
      <c r="E24" s="2">
        <v>0</v>
      </c>
      <c r="F24" s="2">
        <v>0</v>
      </c>
      <c r="G24" s="2">
        <v>3.12</v>
      </c>
      <c r="H24" s="2">
        <v>0</v>
      </c>
      <c r="I24" s="2">
        <v>-0.16</v>
      </c>
      <c r="J24" s="2">
        <v>13.56</v>
      </c>
      <c r="K24" s="2">
        <v>9.74</v>
      </c>
      <c r="L24" s="2">
        <v>12.04</v>
      </c>
      <c r="M24" s="2">
        <v>0</v>
      </c>
      <c r="N24" s="2">
        <v>16.52</v>
      </c>
      <c r="O24" s="2">
        <v>23.62</v>
      </c>
      <c r="P24" s="2">
        <v>12.540000000000001</v>
      </c>
      <c r="Q24" s="2">
        <v>11.96</v>
      </c>
      <c r="R24" s="2">
        <v>27.12</v>
      </c>
      <c r="S24" s="2">
        <v>16.920000000000002</v>
      </c>
      <c r="T24" s="2">
        <v>36.44</v>
      </c>
      <c r="U24" s="1">
        <f>COUNTIF(C24:T24,"&gt;"&amp;VLOOKUP(B24,MetaTable,3,FALSE))</f>
        <v>3</v>
      </c>
      <c r="V24">
        <v>195.02</v>
      </c>
      <c r="W24">
        <f t="shared" si="0"/>
        <v>15.001538461538463</v>
      </c>
    </row>
    <row r="25" spans="1:23" x14ac:dyDescent="0.45">
      <c r="A25" s="1" t="s">
        <v>28</v>
      </c>
      <c r="B25" s="1" t="s">
        <v>5</v>
      </c>
      <c r="C25" s="2">
        <v>11.280000000000001</v>
      </c>
      <c r="D25" s="2">
        <v>13.3</v>
      </c>
      <c r="E25" s="2">
        <v>9.4200000000000017</v>
      </c>
      <c r="F25" s="2">
        <v>14.76</v>
      </c>
      <c r="G25" s="2">
        <v>21.24</v>
      </c>
      <c r="H25" s="2">
        <v>17.059999999999999</v>
      </c>
      <c r="I25" s="2">
        <v>15.02</v>
      </c>
      <c r="J25" s="2">
        <v>23.32</v>
      </c>
      <c r="K25" s="2">
        <v>19.559999999999999</v>
      </c>
      <c r="L25" s="2">
        <v>0</v>
      </c>
      <c r="M25" s="2">
        <v>0</v>
      </c>
      <c r="N25" s="2">
        <v>0</v>
      </c>
      <c r="O25" s="2">
        <v>0.24000000000000021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1">
        <f>COUNTIF(C25:T25,"&gt;"&amp;VLOOKUP(B25,MetaTable,3,FALSE))</f>
        <v>4</v>
      </c>
      <c r="V25">
        <v>145.19999999999999</v>
      </c>
      <c r="W25">
        <f t="shared" si="0"/>
        <v>16.133333333333333</v>
      </c>
    </row>
    <row r="26" spans="1:23" x14ac:dyDescent="0.45">
      <c r="A26" s="1" t="s">
        <v>29</v>
      </c>
      <c r="B26" s="1" t="s">
        <v>5</v>
      </c>
      <c r="C26" s="2">
        <v>6.1999999999999993</v>
      </c>
      <c r="D26" s="2">
        <v>17.54</v>
      </c>
      <c r="E26" s="2">
        <v>11.100000000000001</v>
      </c>
      <c r="F26" s="2">
        <v>7.52</v>
      </c>
      <c r="G26" s="2">
        <v>34.36</v>
      </c>
      <c r="H26" s="2">
        <v>12.5</v>
      </c>
      <c r="I26" s="2">
        <v>7.18</v>
      </c>
      <c r="J26" s="2">
        <v>28.64</v>
      </c>
      <c r="K26" s="2">
        <v>17.78</v>
      </c>
      <c r="L26" s="2">
        <v>10.24</v>
      </c>
      <c r="M26" s="2">
        <v>4.92</v>
      </c>
      <c r="N26" s="2">
        <v>0</v>
      </c>
      <c r="O26" s="2">
        <v>2.1000000000000005</v>
      </c>
      <c r="P26" s="2">
        <v>9.76</v>
      </c>
      <c r="Q26" s="2">
        <v>6.48</v>
      </c>
      <c r="R26" s="2">
        <v>0</v>
      </c>
      <c r="S26" s="2">
        <v>0</v>
      </c>
      <c r="T26" s="2">
        <v>0</v>
      </c>
      <c r="U26" s="1">
        <f>COUNTIF(C26:T26,"&gt;"&amp;VLOOKUP(B26,MetaTable,3,FALSE))</f>
        <v>4</v>
      </c>
      <c r="V26">
        <v>176.32</v>
      </c>
      <c r="W26">
        <f t="shared" si="0"/>
        <v>12.594285714285714</v>
      </c>
    </row>
    <row r="27" spans="1:23" x14ac:dyDescent="0.45">
      <c r="A27" s="1" t="s">
        <v>30</v>
      </c>
      <c r="B27" s="1" t="s">
        <v>5</v>
      </c>
      <c r="C27" s="2">
        <v>26.080000000000002</v>
      </c>
      <c r="D27" s="2">
        <v>9.86</v>
      </c>
      <c r="E27" s="2">
        <v>5.08</v>
      </c>
      <c r="F27" s="2">
        <v>5.24</v>
      </c>
      <c r="G27" s="2">
        <v>0</v>
      </c>
      <c r="H27" s="2">
        <v>0</v>
      </c>
      <c r="I27" s="2">
        <v>8.7600000000000016</v>
      </c>
      <c r="J27" s="2">
        <v>11.5</v>
      </c>
      <c r="K27" s="2">
        <v>0</v>
      </c>
      <c r="L27" s="2">
        <v>0</v>
      </c>
      <c r="M27" s="2">
        <v>28.080000000000002</v>
      </c>
      <c r="N27" s="2">
        <v>12.98</v>
      </c>
      <c r="O27" s="2">
        <v>21.16</v>
      </c>
      <c r="P27" s="2">
        <v>0</v>
      </c>
      <c r="Q27" s="2">
        <v>13.88</v>
      </c>
      <c r="R27" s="2">
        <v>20.240000000000002</v>
      </c>
      <c r="S27" s="2">
        <v>0</v>
      </c>
      <c r="T27" s="2">
        <v>0</v>
      </c>
      <c r="U27" s="1">
        <f>COUNTIF(C27:T27,"&gt;"&amp;VLOOKUP(B27,MetaTable,3,FALSE))</f>
        <v>4</v>
      </c>
      <c r="V27">
        <v>162.86000000000001</v>
      </c>
      <c r="W27">
        <f t="shared" si="0"/>
        <v>14.805454545454547</v>
      </c>
    </row>
    <row r="28" spans="1:23" x14ac:dyDescent="0.45">
      <c r="A28" s="1" t="s">
        <v>31</v>
      </c>
      <c r="B28" s="1" t="s">
        <v>5</v>
      </c>
      <c r="C28" s="2">
        <v>21.3</v>
      </c>
      <c r="D28" s="2">
        <v>21.82</v>
      </c>
      <c r="E28" s="2">
        <v>7.9799999999999995</v>
      </c>
      <c r="F28" s="2">
        <v>8.06</v>
      </c>
      <c r="G28" s="2">
        <v>12.600000000000001</v>
      </c>
      <c r="H28" s="2">
        <v>0</v>
      </c>
      <c r="I28" s="2">
        <v>0</v>
      </c>
      <c r="J28" s="2">
        <v>0</v>
      </c>
      <c r="K28" s="2">
        <v>13.44</v>
      </c>
      <c r="L28" s="2">
        <v>20.459999999999997</v>
      </c>
      <c r="M28" s="2">
        <v>18.720000000000002</v>
      </c>
      <c r="N28" s="2">
        <v>0</v>
      </c>
      <c r="O28" s="2">
        <v>14.559999999999999</v>
      </c>
      <c r="P28" s="2">
        <v>11.96</v>
      </c>
      <c r="Q28" s="2">
        <v>0</v>
      </c>
      <c r="R28" s="2">
        <v>0</v>
      </c>
      <c r="S28" s="2">
        <v>0</v>
      </c>
      <c r="T28" s="2">
        <v>0</v>
      </c>
      <c r="U28" s="1">
        <f>COUNTIF(C28:T28,"&gt;"&amp;VLOOKUP(B28,MetaTable,3,FALSE))</f>
        <v>4</v>
      </c>
      <c r="V28">
        <v>150.9</v>
      </c>
      <c r="W28">
        <f t="shared" si="0"/>
        <v>15.09</v>
      </c>
    </row>
    <row r="29" spans="1:23" x14ac:dyDescent="0.45">
      <c r="A29" s="1" t="s">
        <v>32</v>
      </c>
      <c r="B29" s="1" t="s">
        <v>5</v>
      </c>
      <c r="C29" s="2">
        <v>4.9400000000000004</v>
      </c>
      <c r="D29" s="2">
        <v>18.32</v>
      </c>
      <c r="E29" s="2">
        <v>19.439999999999998</v>
      </c>
      <c r="F29" s="2">
        <v>9.5400000000000009</v>
      </c>
      <c r="G29" s="2">
        <v>22.080000000000002</v>
      </c>
      <c r="H29" s="2">
        <v>11.8</v>
      </c>
      <c r="I29" s="2">
        <v>5.96</v>
      </c>
      <c r="J29" s="2">
        <v>6.66</v>
      </c>
      <c r="K29" s="2">
        <v>24.36</v>
      </c>
      <c r="L29" s="2">
        <v>12.200000000000001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1">
        <f>COUNTIF(C29:T29,"&gt;"&amp;VLOOKUP(B29,MetaTable,3,FALSE))</f>
        <v>4</v>
      </c>
      <c r="V29">
        <v>135.30000000000001</v>
      </c>
      <c r="W29">
        <f t="shared" si="0"/>
        <v>13.530000000000001</v>
      </c>
    </row>
    <row r="30" spans="1:23" x14ac:dyDescent="0.45">
      <c r="A30" s="1" t="s">
        <v>33</v>
      </c>
      <c r="B30" s="1" t="s">
        <v>5</v>
      </c>
      <c r="C30" s="2">
        <v>0</v>
      </c>
      <c r="D30" s="2">
        <v>0.4</v>
      </c>
      <c r="E30" s="2">
        <v>0.1</v>
      </c>
      <c r="F30" s="2">
        <v>0</v>
      </c>
      <c r="G30" s="2">
        <v>0.33999999999999997</v>
      </c>
      <c r="H30" s="2">
        <v>0</v>
      </c>
      <c r="I30" s="2">
        <v>8.68</v>
      </c>
      <c r="J30" s="2">
        <v>23.56</v>
      </c>
      <c r="K30" s="2">
        <v>10.100000000000001</v>
      </c>
      <c r="L30" s="2">
        <v>0</v>
      </c>
      <c r="M30" s="2">
        <v>26.6</v>
      </c>
      <c r="N30" s="2">
        <v>13.459999999999999</v>
      </c>
      <c r="O30" s="2">
        <v>32.979999999999997</v>
      </c>
      <c r="P30" s="2">
        <v>15.280000000000001</v>
      </c>
      <c r="Q30" s="2">
        <v>-0.36000000000000015</v>
      </c>
      <c r="R30" s="2">
        <v>0</v>
      </c>
      <c r="S30" s="2">
        <v>0</v>
      </c>
      <c r="T30" s="2">
        <v>0</v>
      </c>
      <c r="U30" s="1">
        <f>COUNTIF(C30:T30,"&gt;"&amp;VLOOKUP(B30,MetaTable,3,FALSE))</f>
        <v>3</v>
      </c>
      <c r="V30">
        <v>131.13999999999999</v>
      </c>
      <c r="W30">
        <f t="shared" si="0"/>
        <v>18.734285714285711</v>
      </c>
    </row>
    <row r="31" spans="1:23" x14ac:dyDescent="0.45">
      <c r="A31" s="1" t="s">
        <v>34</v>
      </c>
      <c r="B31" s="1" t="s">
        <v>5</v>
      </c>
      <c r="C31" s="2">
        <v>6.68</v>
      </c>
      <c r="D31" s="2">
        <v>11.48</v>
      </c>
      <c r="E31" s="2">
        <v>13.599999999999998</v>
      </c>
      <c r="F31" s="2">
        <v>-0.5</v>
      </c>
      <c r="G31" s="2">
        <v>0</v>
      </c>
      <c r="H31" s="2">
        <v>7.3000000000000007</v>
      </c>
      <c r="I31" s="2">
        <v>0</v>
      </c>
      <c r="J31" s="2">
        <v>0</v>
      </c>
      <c r="K31" s="2">
        <v>0</v>
      </c>
      <c r="L31" s="2">
        <v>19.100000000000001</v>
      </c>
      <c r="M31" s="2">
        <v>15.600000000000001</v>
      </c>
      <c r="N31" s="2">
        <v>16.12</v>
      </c>
      <c r="O31" s="2">
        <v>16.18</v>
      </c>
      <c r="P31" s="2">
        <v>7.02</v>
      </c>
      <c r="Q31" s="2">
        <v>-4.4399999999999995</v>
      </c>
      <c r="R31" s="2">
        <v>0</v>
      </c>
      <c r="S31" s="2">
        <v>0</v>
      </c>
      <c r="T31" s="2">
        <v>11.8</v>
      </c>
      <c r="U31" s="1">
        <f>COUNTIF(C31:T31,"&gt;"&amp;VLOOKUP(B31,MetaTable,3,FALSE))</f>
        <v>1</v>
      </c>
      <c r="V31">
        <v>119.94</v>
      </c>
      <c r="W31">
        <f t="shared" si="0"/>
        <v>11.994</v>
      </c>
    </row>
    <row r="32" spans="1:23" x14ac:dyDescent="0.45">
      <c r="A32" s="1" t="s">
        <v>35</v>
      </c>
      <c r="B32" s="1" t="s">
        <v>5</v>
      </c>
      <c r="C32" s="2">
        <v>11.940000000000001</v>
      </c>
      <c r="D32" s="2">
        <v>11.379999999999999</v>
      </c>
      <c r="E32" s="2">
        <v>18.399999999999999</v>
      </c>
      <c r="F32" s="2">
        <v>31.980000000000004</v>
      </c>
      <c r="G32" s="2">
        <v>15.940000000000001</v>
      </c>
      <c r="H32" s="2">
        <v>23.7</v>
      </c>
      <c r="I32" s="2">
        <v>0</v>
      </c>
      <c r="J32" s="2">
        <v>0</v>
      </c>
      <c r="K32" s="2">
        <v>0</v>
      </c>
      <c r="L32" s="2">
        <v>0</v>
      </c>
      <c r="M32" s="2">
        <v>1.7000000000000002</v>
      </c>
      <c r="N32" s="2">
        <v>2.6</v>
      </c>
      <c r="O32" s="2">
        <v>0.70000000000000007</v>
      </c>
      <c r="P32" s="2">
        <v>0</v>
      </c>
      <c r="Q32" s="2">
        <v>0.8</v>
      </c>
      <c r="R32" s="2">
        <v>0</v>
      </c>
      <c r="S32" s="2">
        <v>0</v>
      </c>
      <c r="T32" s="2">
        <v>0</v>
      </c>
      <c r="U32" s="1">
        <f>COUNTIF(C32:T32,"&gt;"&amp;VLOOKUP(B32,MetaTable,3,FALSE))</f>
        <v>3</v>
      </c>
      <c r="V32">
        <v>119.14</v>
      </c>
      <c r="W32">
        <f t="shared" si="0"/>
        <v>14.8925</v>
      </c>
    </row>
    <row r="33" spans="1:23" x14ac:dyDescent="0.45">
      <c r="A33" s="1" t="s">
        <v>36</v>
      </c>
      <c r="B33" s="1" t="s">
        <v>5</v>
      </c>
      <c r="C33" s="2">
        <v>-0.1</v>
      </c>
      <c r="D33" s="2">
        <v>0.24</v>
      </c>
      <c r="E33" s="2">
        <v>0</v>
      </c>
      <c r="F33" s="2">
        <v>0</v>
      </c>
      <c r="G33" s="2">
        <v>0</v>
      </c>
      <c r="H33" s="2">
        <v>4.0000000000000091E-2</v>
      </c>
      <c r="I33" s="2">
        <v>0</v>
      </c>
      <c r="J33" s="2">
        <v>0</v>
      </c>
      <c r="K33" s="2">
        <v>11.000000000000002</v>
      </c>
      <c r="L33" s="2">
        <v>-2</v>
      </c>
      <c r="M33" s="2">
        <v>16.36</v>
      </c>
      <c r="N33" s="2">
        <v>17.980000000000004</v>
      </c>
      <c r="O33" s="2">
        <v>11.8</v>
      </c>
      <c r="P33" s="2">
        <v>13.82</v>
      </c>
      <c r="Q33" s="2">
        <v>19.060000000000002</v>
      </c>
      <c r="R33" s="2">
        <v>15.28</v>
      </c>
      <c r="S33" s="2">
        <v>6.0799999999999992</v>
      </c>
      <c r="T33" s="2">
        <v>0</v>
      </c>
      <c r="U33" s="1">
        <f>COUNTIF(C33:T33,"&gt;"&amp;VLOOKUP(B33,MetaTable,3,FALSE))</f>
        <v>2</v>
      </c>
      <c r="V33">
        <v>109.56</v>
      </c>
      <c r="W33">
        <f t="shared" si="0"/>
        <v>13.695</v>
      </c>
    </row>
    <row r="34" spans="1:23" x14ac:dyDescent="0.45">
      <c r="A34" s="1" t="s">
        <v>37</v>
      </c>
      <c r="B34" s="1" t="s">
        <v>5</v>
      </c>
      <c r="C34" s="2">
        <v>11.46</v>
      </c>
      <c r="D34" s="2">
        <v>12.920000000000002</v>
      </c>
      <c r="E34" s="2">
        <v>29.86</v>
      </c>
      <c r="F34" s="2">
        <v>16.739999999999998</v>
      </c>
      <c r="G34" s="2">
        <v>16.38</v>
      </c>
      <c r="H34" s="2">
        <v>3.22</v>
      </c>
      <c r="I34" s="2">
        <v>0</v>
      </c>
      <c r="J34" s="2">
        <v>13.62</v>
      </c>
      <c r="K34" s="2">
        <v>12.32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1">
        <f>COUNTIF(C34:T34,"&gt;"&amp;VLOOKUP(B34,MetaTable,3,FALSE))</f>
        <v>1</v>
      </c>
      <c r="V34">
        <v>116.52</v>
      </c>
      <c r="W34">
        <f t="shared" si="0"/>
        <v>14.565</v>
      </c>
    </row>
    <row r="35" spans="1:23" x14ac:dyDescent="0.45">
      <c r="A35" s="1" t="s">
        <v>38</v>
      </c>
      <c r="B35" s="1" t="s">
        <v>5</v>
      </c>
      <c r="C35" s="2">
        <v>0</v>
      </c>
      <c r="D35" s="2">
        <v>0</v>
      </c>
      <c r="E35" s="2">
        <v>0</v>
      </c>
      <c r="F35" s="2">
        <v>15.02</v>
      </c>
      <c r="G35" s="2">
        <v>26.56</v>
      </c>
      <c r="H35" s="2">
        <v>13.66</v>
      </c>
      <c r="I35" s="2">
        <v>0</v>
      </c>
      <c r="J35" s="2">
        <v>0</v>
      </c>
      <c r="K35" s="2">
        <v>3.0600000000000005</v>
      </c>
      <c r="L35" s="2">
        <v>10.880000000000003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15.300000000000004</v>
      </c>
      <c r="T35" s="2">
        <v>14.56</v>
      </c>
      <c r="U35" s="1">
        <f>COUNTIF(C35:T35,"&gt;"&amp;VLOOKUP(B35,MetaTable,3,FALSE))</f>
        <v>1</v>
      </c>
      <c r="V35">
        <v>99.04</v>
      </c>
      <c r="W35">
        <f t="shared" si="0"/>
        <v>14.148571428571429</v>
      </c>
    </row>
    <row r="36" spans="1:23" x14ac:dyDescent="0.45">
      <c r="A36" s="1" t="s">
        <v>39</v>
      </c>
      <c r="B36" s="1" t="s">
        <v>5</v>
      </c>
      <c r="C36" s="2">
        <v>0</v>
      </c>
      <c r="D36" s="2">
        <v>0</v>
      </c>
      <c r="E36" s="2">
        <v>-1.1200000000000001</v>
      </c>
      <c r="F36" s="2">
        <v>0</v>
      </c>
      <c r="G36" s="2">
        <v>0</v>
      </c>
      <c r="H36" s="2">
        <v>0.24</v>
      </c>
      <c r="I36" s="2">
        <v>0</v>
      </c>
      <c r="J36" s="2">
        <v>0</v>
      </c>
      <c r="K36" s="2">
        <v>0</v>
      </c>
      <c r="L36" s="2">
        <v>5.24</v>
      </c>
      <c r="M36" s="2">
        <v>4.2200000000000006</v>
      </c>
      <c r="N36" s="2">
        <v>0</v>
      </c>
      <c r="O36" s="2">
        <v>20</v>
      </c>
      <c r="P36" s="2">
        <v>5.1000000000000005</v>
      </c>
      <c r="Q36" s="2">
        <v>18.659999999999997</v>
      </c>
      <c r="R36" s="2">
        <v>13.88</v>
      </c>
      <c r="S36" s="2">
        <v>17.16</v>
      </c>
      <c r="T36" s="2">
        <v>12.7</v>
      </c>
      <c r="U36" s="1">
        <f>COUNTIF(C36:T36,"&gt;"&amp;VLOOKUP(B36,MetaTable,3,FALSE))</f>
        <v>3</v>
      </c>
      <c r="V36">
        <v>96.08</v>
      </c>
      <c r="W36">
        <f t="shared" si="0"/>
        <v>12.01</v>
      </c>
    </row>
    <row r="37" spans="1:23" x14ac:dyDescent="0.45">
      <c r="A37" s="1" t="s">
        <v>40</v>
      </c>
      <c r="B37" s="1" t="s">
        <v>5</v>
      </c>
      <c r="C37" s="2">
        <v>0</v>
      </c>
      <c r="D37" s="2">
        <v>0</v>
      </c>
      <c r="E37" s="2">
        <v>0</v>
      </c>
      <c r="F37" s="2">
        <v>3.4</v>
      </c>
      <c r="G37" s="2">
        <v>0</v>
      </c>
      <c r="H37" s="2">
        <v>0</v>
      </c>
      <c r="I37" s="2">
        <v>9.9</v>
      </c>
      <c r="J37" s="2">
        <v>19.54</v>
      </c>
      <c r="K37" s="2">
        <v>17.5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15.76</v>
      </c>
      <c r="R37" s="2">
        <v>14.379999999999999</v>
      </c>
      <c r="S37" s="2">
        <v>12.02</v>
      </c>
      <c r="T37" s="2">
        <v>3.3000000000000003</v>
      </c>
      <c r="U37" s="1">
        <f>COUNTIF(C37:T37,"&gt;"&amp;VLOOKUP(B37,MetaTable,3,FALSE))</f>
        <v>2</v>
      </c>
      <c r="V37">
        <v>95.8</v>
      </c>
      <c r="W37">
        <f t="shared" si="0"/>
        <v>11.975</v>
      </c>
    </row>
    <row r="38" spans="1:23" x14ac:dyDescent="0.45">
      <c r="A38" s="1" t="s">
        <v>41</v>
      </c>
      <c r="B38" s="1" t="s">
        <v>5</v>
      </c>
      <c r="C38" s="2">
        <v>0</v>
      </c>
      <c r="D38" s="2">
        <v>0</v>
      </c>
      <c r="E38" s="2">
        <v>7.28</v>
      </c>
      <c r="F38" s="2">
        <v>0</v>
      </c>
      <c r="G38" s="2">
        <v>1.7600000000000002</v>
      </c>
      <c r="H38" s="2">
        <v>11.08</v>
      </c>
      <c r="I38" s="2">
        <v>2.08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19.600000000000001</v>
      </c>
      <c r="P38" s="2">
        <v>6.76</v>
      </c>
      <c r="Q38" s="2">
        <v>0</v>
      </c>
      <c r="R38" s="2">
        <v>11.48</v>
      </c>
      <c r="S38" s="2">
        <v>17.579999999999998</v>
      </c>
      <c r="T38" s="2">
        <v>15.860000000000003</v>
      </c>
      <c r="U38" s="1">
        <f>COUNTIF(C38:T38,"&gt;"&amp;VLOOKUP(B38,MetaTable,3,FALSE))</f>
        <v>2</v>
      </c>
      <c r="V38">
        <v>93.48</v>
      </c>
      <c r="W38">
        <f t="shared" si="0"/>
        <v>10.386666666666667</v>
      </c>
    </row>
    <row r="39" spans="1:23" x14ac:dyDescent="0.45">
      <c r="A39" s="1" t="s">
        <v>42</v>
      </c>
      <c r="B39" s="1" t="s">
        <v>5</v>
      </c>
      <c r="C39" s="2">
        <v>10.66</v>
      </c>
      <c r="D39" s="2">
        <v>15.440000000000001</v>
      </c>
      <c r="E39" s="2">
        <v>16.440000000000001</v>
      </c>
      <c r="F39" s="2">
        <v>12.239999999999998</v>
      </c>
      <c r="G39" s="2">
        <v>8.4</v>
      </c>
      <c r="H39" s="2">
        <v>8.42</v>
      </c>
      <c r="I39" s="2">
        <v>5.12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1">
        <f>COUNTIF(C39:T39,"&gt;"&amp;VLOOKUP(B39,MetaTable,3,FALSE))</f>
        <v>0</v>
      </c>
      <c r="V39">
        <v>76.72</v>
      </c>
      <c r="W39">
        <f t="shared" si="0"/>
        <v>10.959999999999999</v>
      </c>
    </row>
    <row r="40" spans="1:23" x14ac:dyDescent="0.45">
      <c r="A40" s="1" t="s">
        <v>43</v>
      </c>
      <c r="B40" s="1" t="s">
        <v>5</v>
      </c>
      <c r="C40" s="2">
        <v>0</v>
      </c>
      <c r="D40" s="2">
        <v>0</v>
      </c>
      <c r="E40" s="2">
        <v>24.56</v>
      </c>
      <c r="F40" s="2">
        <v>15.700000000000001</v>
      </c>
      <c r="G40" s="2">
        <v>3.74</v>
      </c>
      <c r="H40" s="2">
        <v>14.94</v>
      </c>
      <c r="I40" s="2">
        <v>2.000000000000024E-2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1">
        <f>COUNTIF(C40:T40,"&gt;"&amp;VLOOKUP(B40,MetaTable,3,FALSE))</f>
        <v>1</v>
      </c>
      <c r="V40">
        <v>58.96</v>
      </c>
      <c r="W40">
        <f t="shared" si="0"/>
        <v>14.74</v>
      </c>
    </row>
    <row r="41" spans="1:23" x14ac:dyDescent="0.45">
      <c r="A41" s="1" t="s">
        <v>44</v>
      </c>
      <c r="B41" s="1" t="s">
        <v>5</v>
      </c>
      <c r="C41" s="2">
        <v>0</v>
      </c>
      <c r="D41" s="2">
        <v>0</v>
      </c>
      <c r="E41" s="2">
        <v>0</v>
      </c>
      <c r="F41" s="2">
        <v>0</v>
      </c>
      <c r="G41" s="2">
        <v>0.12000000000000001</v>
      </c>
      <c r="H41" s="2">
        <v>0</v>
      </c>
      <c r="I41" s="2">
        <v>19.600000000000001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26.040000000000003</v>
      </c>
      <c r="U41" s="1">
        <f>COUNTIF(C41:T41,"&gt;"&amp;VLOOKUP(B41,MetaTable,3,FALSE))</f>
        <v>2</v>
      </c>
      <c r="V41">
        <v>45.76</v>
      </c>
      <c r="W41">
        <f t="shared" si="0"/>
        <v>22.88</v>
      </c>
    </row>
    <row r="42" spans="1:23" x14ac:dyDescent="0.45">
      <c r="A42" s="1" t="s">
        <v>45</v>
      </c>
      <c r="B42" s="1" t="s">
        <v>5</v>
      </c>
      <c r="C42" s="2">
        <v>10.78</v>
      </c>
      <c r="D42" s="2">
        <v>12.940000000000001</v>
      </c>
      <c r="E42" s="2">
        <v>13.96</v>
      </c>
      <c r="F42" s="2">
        <v>5</v>
      </c>
      <c r="G42" s="2">
        <v>7.6800000000000006</v>
      </c>
      <c r="H42" s="2">
        <v>0</v>
      </c>
      <c r="I42" s="2">
        <v>-1.64</v>
      </c>
      <c r="J42" s="2">
        <v>14.96</v>
      </c>
      <c r="K42" s="2">
        <v>2.96</v>
      </c>
      <c r="L42" s="2">
        <v>0</v>
      </c>
      <c r="M42" s="2">
        <v>17.98</v>
      </c>
      <c r="N42" s="2">
        <v>11.700000000000001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1">
        <f>COUNTIF(C42:T42,"&gt;"&amp;VLOOKUP(B42,MetaTable,3,FALSE))</f>
        <v>1</v>
      </c>
      <c r="V42">
        <v>96.32</v>
      </c>
      <c r="W42">
        <f t="shared" si="0"/>
        <v>10.702222222222222</v>
      </c>
    </row>
    <row r="43" spans="1:23" x14ac:dyDescent="0.45">
      <c r="A43" s="1" t="s">
        <v>46</v>
      </c>
      <c r="B43" s="1" t="s">
        <v>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1.54</v>
      </c>
      <c r="J43" s="2">
        <v>0</v>
      </c>
      <c r="K43" s="2">
        <v>0</v>
      </c>
      <c r="L43" s="2">
        <v>0</v>
      </c>
      <c r="M43" s="2">
        <v>0</v>
      </c>
      <c r="N43" s="2">
        <v>0.12</v>
      </c>
      <c r="O43" s="2">
        <v>14.82</v>
      </c>
      <c r="P43" s="2">
        <v>14.98</v>
      </c>
      <c r="Q43" s="2">
        <v>0</v>
      </c>
      <c r="R43" s="2">
        <v>6.5</v>
      </c>
      <c r="S43" s="2">
        <v>34.36</v>
      </c>
      <c r="T43" s="2">
        <v>7.8199999999999994</v>
      </c>
      <c r="U43" s="1">
        <f>COUNTIF(C43:T43,"&gt;"&amp;VLOOKUP(B43,MetaTable,3,FALSE))</f>
        <v>1</v>
      </c>
      <c r="V43">
        <v>80.14</v>
      </c>
      <c r="W43">
        <f t="shared" si="0"/>
        <v>13.356666666666667</v>
      </c>
    </row>
    <row r="44" spans="1:23" x14ac:dyDescent="0.45">
      <c r="A44" s="1" t="s">
        <v>47</v>
      </c>
      <c r="B44" s="1" t="s">
        <v>5</v>
      </c>
      <c r="C44" s="2">
        <v>0</v>
      </c>
      <c r="D44" s="2">
        <v>0</v>
      </c>
      <c r="E44" s="2">
        <v>0</v>
      </c>
      <c r="F44" s="2">
        <v>11.84</v>
      </c>
      <c r="G44" s="2">
        <v>6.46</v>
      </c>
      <c r="H44" s="2">
        <v>0</v>
      </c>
      <c r="I44" s="2">
        <v>9.48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24.2</v>
      </c>
      <c r="T44" s="2">
        <v>8.68</v>
      </c>
      <c r="U44" s="1">
        <f>COUNTIF(C44:T44,"&gt;"&amp;VLOOKUP(B44,MetaTable,3,FALSE))</f>
        <v>1</v>
      </c>
      <c r="V44">
        <v>60.66</v>
      </c>
      <c r="W44">
        <f t="shared" si="0"/>
        <v>12.132</v>
      </c>
    </row>
    <row r="45" spans="1:23" x14ac:dyDescent="0.45">
      <c r="A45" s="1" t="s">
        <v>48</v>
      </c>
      <c r="B45" s="1" t="s">
        <v>5</v>
      </c>
      <c r="C45" s="2">
        <v>0</v>
      </c>
      <c r="D45" s="2">
        <v>12.98</v>
      </c>
      <c r="E45" s="2">
        <v>25.380000000000003</v>
      </c>
      <c r="F45" s="2">
        <v>0</v>
      </c>
      <c r="G45" s="2">
        <v>0</v>
      </c>
      <c r="H45" s="2">
        <v>0</v>
      </c>
      <c r="I45" s="2">
        <v>0</v>
      </c>
      <c r="J45" s="2">
        <v>8.5400000000000009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1.1600000000000001</v>
      </c>
      <c r="S45" s="2">
        <v>0</v>
      </c>
      <c r="T45" s="2">
        <v>3.74</v>
      </c>
      <c r="U45" s="1">
        <f>COUNTIF(C45:T45,"&gt;"&amp;VLOOKUP(B45,MetaTable,3,FALSE))</f>
        <v>1</v>
      </c>
      <c r="V45">
        <v>51.8</v>
      </c>
      <c r="W45">
        <f t="shared" si="0"/>
        <v>10.36</v>
      </c>
    </row>
    <row r="46" spans="1:23" x14ac:dyDescent="0.45">
      <c r="A46" s="1" t="s">
        <v>49</v>
      </c>
      <c r="B46" s="1" t="s">
        <v>5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0.56000000000000005</v>
      </c>
      <c r="J46" s="2">
        <v>0</v>
      </c>
      <c r="K46" s="2">
        <v>0</v>
      </c>
      <c r="L46" s="2">
        <v>0</v>
      </c>
      <c r="M46" s="2">
        <v>0.96</v>
      </c>
      <c r="N46" s="2">
        <v>0</v>
      </c>
      <c r="O46" s="2">
        <v>0</v>
      </c>
      <c r="P46" s="2">
        <v>0</v>
      </c>
      <c r="Q46" s="2">
        <v>0</v>
      </c>
      <c r="R46" s="2">
        <v>6.38</v>
      </c>
      <c r="S46" s="2">
        <v>11.22</v>
      </c>
      <c r="T46" s="2">
        <v>24.98</v>
      </c>
      <c r="U46" s="1">
        <f>COUNTIF(C46:T46,"&gt;"&amp;VLOOKUP(B46,MetaTable,3,FALSE))</f>
        <v>1</v>
      </c>
      <c r="V46">
        <v>44.1</v>
      </c>
      <c r="W46">
        <f t="shared" si="0"/>
        <v>14.700000000000001</v>
      </c>
    </row>
    <row r="47" spans="1:23" x14ac:dyDescent="0.45">
      <c r="A47" s="1" t="s">
        <v>50</v>
      </c>
      <c r="B47" s="1" t="s">
        <v>5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8.1</v>
      </c>
      <c r="T47" s="2">
        <v>22.74</v>
      </c>
      <c r="U47" s="1">
        <f>COUNTIF(C47:T47,"&gt;"&amp;VLOOKUP(B47,MetaTable,3,FALSE))</f>
        <v>1</v>
      </c>
      <c r="V47">
        <v>30.84</v>
      </c>
      <c r="W47">
        <f t="shared" si="0"/>
        <v>15.42</v>
      </c>
    </row>
    <row r="48" spans="1:23" x14ac:dyDescent="0.45">
      <c r="A48" s="1" t="s">
        <v>51</v>
      </c>
      <c r="B48" s="1" t="s">
        <v>5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9.9600000000000009</v>
      </c>
      <c r="T48" s="2">
        <v>18.86</v>
      </c>
      <c r="U48" s="1">
        <f>COUNTIF(C48:T48,"&gt;"&amp;VLOOKUP(B48,MetaTable,3,FALSE))</f>
        <v>1</v>
      </c>
      <c r="V48">
        <v>28.82</v>
      </c>
      <c r="W48">
        <f t="shared" si="0"/>
        <v>14.41</v>
      </c>
    </row>
    <row r="49" spans="1:23" x14ac:dyDescent="0.45">
      <c r="A49" s="1" t="s">
        <v>52</v>
      </c>
      <c r="B49" s="1" t="s">
        <v>5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0.30000000000000004</v>
      </c>
      <c r="M49" s="2">
        <v>0</v>
      </c>
      <c r="N49" s="2">
        <v>-0.2</v>
      </c>
      <c r="O49" s="2">
        <v>0</v>
      </c>
      <c r="P49" s="2">
        <v>0</v>
      </c>
      <c r="Q49" s="2">
        <v>0</v>
      </c>
      <c r="R49" s="2">
        <v>9.02</v>
      </c>
      <c r="S49" s="2">
        <v>16.02</v>
      </c>
      <c r="T49" s="2">
        <v>0</v>
      </c>
      <c r="U49" s="1">
        <f>COUNTIF(C49:T49,"&gt;"&amp;VLOOKUP(B49,MetaTable,3,FALSE))</f>
        <v>0</v>
      </c>
      <c r="V49">
        <v>25.14</v>
      </c>
      <c r="W49">
        <f t="shared" si="0"/>
        <v>12.57</v>
      </c>
    </row>
    <row r="50" spans="1:23" x14ac:dyDescent="0.45">
      <c r="A50" s="1" t="s">
        <v>53</v>
      </c>
      <c r="B50" s="1" t="s">
        <v>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19.86</v>
      </c>
      <c r="U50" s="1">
        <f>COUNTIF(C50:T50,"&gt;"&amp;VLOOKUP(B50,MetaTable,3,FALSE))</f>
        <v>1</v>
      </c>
      <c r="V50">
        <v>19.86</v>
      </c>
      <c r="W50">
        <f t="shared" si="0"/>
        <v>19.86</v>
      </c>
    </row>
    <row r="51" spans="1:23" x14ac:dyDescent="0.45">
      <c r="A51" s="1" t="s">
        <v>54</v>
      </c>
      <c r="B51" s="1" t="s">
        <v>5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19.240000000000002</v>
      </c>
      <c r="U51" s="1">
        <f>COUNTIF(C51:T51,"&gt;"&amp;VLOOKUP(B51,MetaTable,3,FALSE))</f>
        <v>1</v>
      </c>
      <c r="V51">
        <v>19.239999999999998</v>
      </c>
      <c r="W51">
        <f t="shared" si="0"/>
        <v>19.239999999999998</v>
      </c>
    </row>
    <row r="52" spans="1:23" x14ac:dyDescent="0.45">
      <c r="A52" s="1" t="s">
        <v>55</v>
      </c>
      <c r="B52" s="1" t="s">
        <v>5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12.420000000000002</v>
      </c>
      <c r="I52" s="2">
        <v>6.2800000000000011</v>
      </c>
      <c r="J52" s="2">
        <v>6.24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9.4</v>
      </c>
      <c r="R52" s="2">
        <v>4.92</v>
      </c>
      <c r="S52" s="2">
        <v>13.32</v>
      </c>
      <c r="T52" s="2">
        <v>14.7</v>
      </c>
      <c r="U52" s="1">
        <f>COUNTIF(C52:T52,"&gt;"&amp;VLOOKUP(B52,MetaTable,3,FALSE))</f>
        <v>0</v>
      </c>
      <c r="V52">
        <v>67.28</v>
      </c>
      <c r="W52">
        <f t="shared" si="0"/>
        <v>9.6114285714285721</v>
      </c>
    </row>
    <row r="53" spans="1:23" x14ac:dyDescent="0.45">
      <c r="A53" s="1" t="s">
        <v>56</v>
      </c>
      <c r="B53" s="1" t="s">
        <v>5</v>
      </c>
      <c r="C53" s="2">
        <v>8.0399999999999991</v>
      </c>
      <c r="D53" s="2">
        <v>10.56</v>
      </c>
      <c r="E53" s="2">
        <v>3.92</v>
      </c>
      <c r="F53" s="2">
        <v>7.02</v>
      </c>
      <c r="G53" s="2">
        <v>7.4</v>
      </c>
      <c r="H53" s="2">
        <v>0</v>
      </c>
      <c r="I53" s="2">
        <v>0</v>
      </c>
      <c r="J53" s="2">
        <v>8.3800000000000008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-0.08</v>
      </c>
      <c r="T53" s="2">
        <v>0</v>
      </c>
      <c r="U53" s="1">
        <f>COUNTIF(C53:T53,"&gt;"&amp;VLOOKUP(B53,MetaTable,3,FALSE))</f>
        <v>0</v>
      </c>
      <c r="V53">
        <v>45.24</v>
      </c>
      <c r="W53">
        <f t="shared" si="0"/>
        <v>7.54</v>
      </c>
    </row>
    <row r="54" spans="1:23" x14ac:dyDescent="0.45">
      <c r="A54" s="1" t="s">
        <v>57</v>
      </c>
      <c r="B54" s="1" t="s">
        <v>5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5.16</v>
      </c>
      <c r="L54" s="2">
        <v>0</v>
      </c>
      <c r="M54" s="2">
        <v>0</v>
      </c>
      <c r="N54" s="2">
        <v>0.86000000000000032</v>
      </c>
      <c r="O54" s="2">
        <v>0</v>
      </c>
      <c r="P54" s="2">
        <v>4.34</v>
      </c>
      <c r="Q54" s="2">
        <v>11.120000000000001</v>
      </c>
      <c r="R54" s="2">
        <v>0</v>
      </c>
      <c r="S54" s="2">
        <v>0</v>
      </c>
      <c r="T54" s="2">
        <v>0.44</v>
      </c>
      <c r="U54" s="1">
        <f>COUNTIF(C54:T54,"&gt;"&amp;VLOOKUP(B54,MetaTable,3,FALSE))</f>
        <v>0</v>
      </c>
      <c r="V54">
        <v>21.92</v>
      </c>
      <c r="W54">
        <f t="shared" si="0"/>
        <v>7.3066666666666675</v>
      </c>
    </row>
    <row r="55" spans="1:23" x14ac:dyDescent="0.45">
      <c r="A55" s="1" t="s">
        <v>58</v>
      </c>
      <c r="B55" s="1" t="s">
        <v>5</v>
      </c>
      <c r="C55" s="2">
        <v>6.14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13.92</v>
      </c>
      <c r="T55" s="2">
        <v>0</v>
      </c>
      <c r="U55" s="1">
        <f>COUNTIF(C55:T55,"&gt;"&amp;VLOOKUP(B55,MetaTable,3,FALSE))</f>
        <v>0</v>
      </c>
      <c r="V55">
        <v>20.059999999999999</v>
      </c>
      <c r="W55">
        <f t="shared" si="0"/>
        <v>10.029999999999999</v>
      </c>
    </row>
    <row r="56" spans="1:23" x14ac:dyDescent="0.45">
      <c r="A56" s="1" t="s">
        <v>59</v>
      </c>
      <c r="B56" s="1" t="s">
        <v>5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3.6800000000000006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0.32000000000000006</v>
      </c>
      <c r="R56" s="2">
        <v>7.1800000000000006</v>
      </c>
      <c r="S56" s="2">
        <v>3.8</v>
      </c>
      <c r="T56" s="2">
        <v>0.82000000000000006</v>
      </c>
      <c r="U56" s="1">
        <f>COUNTIF(C56:T56,"&gt;"&amp;VLOOKUP(B56,MetaTable,3,FALSE))</f>
        <v>0</v>
      </c>
      <c r="V56">
        <v>15.8</v>
      </c>
      <c r="W56">
        <f t="shared" si="0"/>
        <v>5.2666666666666666</v>
      </c>
    </row>
    <row r="57" spans="1:23" x14ac:dyDescent="0.45">
      <c r="A57" s="1" t="s">
        <v>60</v>
      </c>
      <c r="B57" s="1" t="s">
        <v>5</v>
      </c>
      <c r="C57" s="2">
        <v>0</v>
      </c>
      <c r="D57" s="2">
        <v>-0.2</v>
      </c>
      <c r="E57" s="2">
        <v>1.999999999999999E-2</v>
      </c>
      <c r="F57" s="2">
        <v>0.08</v>
      </c>
      <c r="G57" s="2">
        <v>0</v>
      </c>
      <c r="H57" s="2">
        <v>0</v>
      </c>
      <c r="I57" s="2">
        <v>0</v>
      </c>
      <c r="J57" s="2">
        <v>-0.30000000000000004</v>
      </c>
      <c r="K57" s="2">
        <v>0</v>
      </c>
      <c r="L57" s="2">
        <v>-0.1</v>
      </c>
      <c r="M57" s="2">
        <v>0</v>
      </c>
      <c r="N57" s="2">
        <v>0</v>
      </c>
      <c r="O57" s="2">
        <v>-0.14000000000000004</v>
      </c>
      <c r="P57" s="2">
        <v>0</v>
      </c>
      <c r="Q57" s="2">
        <v>0</v>
      </c>
      <c r="R57" s="2">
        <v>0</v>
      </c>
      <c r="S57" s="2">
        <v>6.66</v>
      </c>
      <c r="T57" s="2">
        <v>9.2399999999999984</v>
      </c>
      <c r="U57" s="1">
        <f>COUNTIF(C57:T57,"&gt;"&amp;VLOOKUP(B57,MetaTable,3,FALSE))</f>
        <v>0</v>
      </c>
      <c r="V57">
        <v>15.26</v>
      </c>
      <c r="W57">
        <f t="shared" si="0"/>
        <v>7.63</v>
      </c>
    </row>
    <row r="58" spans="1:23" x14ac:dyDescent="0.45">
      <c r="A58" s="1" t="s">
        <v>61</v>
      </c>
      <c r="B58" s="1" t="s">
        <v>5</v>
      </c>
      <c r="C58" s="2">
        <v>0</v>
      </c>
      <c r="D58" s="2">
        <v>0</v>
      </c>
      <c r="E58" s="2">
        <v>3.7600000000000002</v>
      </c>
      <c r="F58" s="2">
        <v>0</v>
      </c>
      <c r="G58" s="2">
        <v>0</v>
      </c>
      <c r="H58" s="2">
        <v>0</v>
      </c>
      <c r="I58" s="2">
        <v>3.36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6.82</v>
      </c>
      <c r="R58" s="2">
        <v>0</v>
      </c>
      <c r="S58" s="2">
        <v>0</v>
      </c>
      <c r="T58" s="2">
        <v>0</v>
      </c>
      <c r="U58" s="1">
        <f>COUNTIF(C58:T58,"&gt;"&amp;VLOOKUP(B58,MetaTable,3,FALSE))</f>
        <v>0</v>
      </c>
      <c r="V58">
        <v>13.94</v>
      </c>
      <c r="W58">
        <f t="shared" si="0"/>
        <v>4.6466666666666665</v>
      </c>
    </row>
    <row r="59" spans="1:23" x14ac:dyDescent="0.45">
      <c r="A59" s="1" t="s">
        <v>62</v>
      </c>
      <c r="B59" s="1" t="s">
        <v>5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10.760000000000002</v>
      </c>
      <c r="O59" s="2">
        <v>0</v>
      </c>
      <c r="P59" s="2">
        <v>0</v>
      </c>
      <c r="Q59" s="2">
        <v>2.72</v>
      </c>
      <c r="R59" s="2">
        <v>0</v>
      </c>
      <c r="S59" s="2">
        <v>0</v>
      </c>
      <c r="T59" s="2">
        <v>0</v>
      </c>
      <c r="U59" s="1">
        <f>COUNTIF(C59:T59,"&gt;"&amp;VLOOKUP(B59,MetaTable,3,FALSE))</f>
        <v>0</v>
      </c>
      <c r="V59">
        <v>13.48</v>
      </c>
      <c r="W59">
        <f t="shared" si="0"/>
        <v>6.74</v>
      </c>
    </row>
    <row r="60" spans="1:23" x14ac:dyDescent="0.45">
      <c r="A60" s="1" t="s">
        <v>63</v>
      </c>
      <c r="B60" s="1" t="s">
        <v>5</v>
      </c>
      <c r="C60" s="2">
        <v>0</v>
      </c>
      <c r="D60" s="2">
        <v>-0.30000000000000004</v>
      </c>
      <c r="E60" s="2">
        <v>0</v>
      </c>
      <c r="F60" s="2">
        <v>0</v>
      </c>
      <c r="G60" s="2">
        <v>1.7800000000000002</v>
      </c>
      <c r="H60" s="2">
        <v>0</v>
      </c>
      <c r="I60" s="2">
        <v>5.52</v>
      </c>
      <c r="J60" s="2">
        <v>5.88</v>
      </c>
      <c r="K60" s="2">
        <v>0</v>
      </c>
      <c r="L60" s="2">
        <v>0</v>
      </c>
      <c r="M60" s="2">
        <v>-0.2</v>
      </c>
      <c r="N60" s="2">
        <v>0</v>
      </c>
      <c r="O60" s="2">
        <v>0</v>
      </c>
      <c r="P60" s="2">
        <v>-0.1</v>
      </c>
      <c r="Q60" s="2">
        <v>0.66</v>
      </c>
      <c r="R60" s="2">
        <v>0</v>
      </c>
      <c r="S60" s="2">
        <v>0</v>
      </c>
      <c r="T60" s="2">
        <v>0</v>
      </c>
      <c r="U60" s="1">
        <f>COUNTIF(C60:T60,"&gt;"&amp;VLOOKUP(B60,MetaTable,3,FALSE))</f>
        <v>0</v>
      </c>
      <c r="V60">
        <v>13.24</v>
      </c>
      <c r="W60">
        <f t="shared" si="0"/>
        <v>4.4133333333333331</v>
      </c>
    </row>
    <row r="61" spans="1:23" x14ac:dyDescent="0.45">
      <c r="A61" s="1" t="s">
        <v>64</v>
      </c>
      <c r="B61" s="1" t="s">
        <v>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0.54</v>
      </c>
      <c r="M61" s="2">
        <v>0</v>
      </c>
      <c r="N61" s="2">
        <v>-0.30000000000000004</v>
      </c>
      <c r="O61" s="2">
        <v>0</v>
      </c>
      <c r="P61" s="2">
        <v>0</v>
      </c>
      <c r="Q61" s="2">
        <v>0</v>
      </c>
      <c r="R61" s="2">
        <v>0</v>
      </c>
      <c r="S61" s="2">
        <v>0.14000000000000001</v>
      </c>
      <c r="T61" s="2">
        <v>12.36</v>
      </c>
      <c r="U61" s="1">
        <f>COUNTIF(C61:T61,"&gt;"&amp;VLOOKUP(B61,MetaTable,3,FALSE))</f>
        <v>0</v>
      </c>
      <c r="V61">
        <v>12.74</v>
      </c>
      <c r="W61">
        <f t="shared" si="0"/>
        <v>12.74</v>
      </c>
    </row>
    <row r="62" spans="1:23" x14ac:dyDescent="0.45">
      <c r="A62" s="1" t="s">
        <v>65</v>
      </c>
      <c r="B62" s="1" t="s">
        <v>5</v>
      </c>
      <c r="C62" s="2">
        <v>0</v>
      </c>
      <c r="D62" s="2">
        <v>0</v>
      </c>
      <c r="E62" s="2">
        <v>3.16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0.2</v>
      </c>
      <c r="T62" s="2">
        <v>6.2200000000000006</v>
      </c>
      <c r="U62" s="1">
        <f>COUNTIF(C62:T62,"&gt;"&amp;VLOOKUP(B62,MetaTable,3,FALSE))</f>
        <v>0</v>
      </c>
      <c r="V62">
        <v>9.58</v>
      </c>
      <c r="W62">
        <f t="shared" si="0"/>
        <v>4.79</v>
      </c>
    </row>
    <row r="63" spans="1:23" x14ac:dyDescent="0.45">
      <c r="A63" s="1" t="s">
        <v>66</v>
      </c>
      <c r="B63" s="1" t="s">
        <v>5</v>
      </c>
      <c r="C63" s="2">
        <v>0</v>
      </c>
      <c r="D63" s="2">
        <v>3.6</v>
      </c>
      <c r="E63" s="2">
        <v>4.28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1">
        <f>COUNTIF(C63:T63,"&gt;"&amp;VLOOKUP(B63,MetaTable,3,FALSE))</f>
        <v>0</v>
      </c>
      <c r="V63">
        <v>7.88</v>
      </c>
      <c r="W63">
        <f t="shared" si="0"/>
        <v>3.94</v>
      </c>
    </row>
    <row r="64" spans="1:23" x14ac:dyDescent="0.45">
      <c r="A64" s="1" t="s">
        <v>67</v>
      </c>
      <c r="B64" s="1" t="s">
        <v>5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7.0000000000000009</v>
      </c>
      <c r="U64" s="1">
        <f>COUNTIF(C64:T64,"&gt;"&amp;VLOOKUP(B64,MetaTable,3,FALSE))</f>
        <v>0</v>
      </c>
      <c r="V64">
        <v>7</v>
      </c>
      <c r="W64">
        <f t="shared" si="0"/>
        <v>7</v>
      </c>
    </row>
    <row r="65" spans="1:23" x14ac:dyDescent="0.45">
      <c r="A65" s="1" t="s">
        <v>68</v>
      </c>
      <c r="B65" s="1" t="s">
        <v>5</v>
      </c>
      <c r="C65" s="2">
        <v>-0.1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8.4600000000000009</v>
      </c>
      <c r="O65" s="2">
        <v>0</v>
      </c>
      <c r="P65" s="2">
        <v>-2</v>
      </c>
      <c r="Q65" s="2">
        <v>0</v>
      </c>
      <c r="R65" s="2">
        <v>0</v>
      </c>
      <c r="S65" s="2">
        <v>0</v>
      </c>
      <c r="T65" s="2">
        <v>0</v>
      </c>
      <c r="U65" s="1">
        <f>COUNTIF(C65:T65,"&gt;"&amp;VLOOKUP(B65,MetaTable,3,FALSE))</f>
        <v>0</v>
      </c>
      <c r="V65">
        <v>6.36</v>
      </c>
      <c r="W65">
        <f t="shared" si="0"/>
        <v>6.36</v>
      </c>
    </row>
    <row r="66" spans="1:23" x14ac:dyDescent="0.45">
      <c r="A66" s="1" t="s">
        <v>69</v>
      </c>
      <c r="B66" s="1" t="s">
        <v>5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0.8</v>
      </c>
      <c r="R66" s="2">
        <v>0</v>
      </c>
      <c r="S66" s="2">
        <v>0</v>
      </c>
      <c r="T66" s="2">
        <v>3.92</v>
      </c>
      <c r="U66" s="1">
        <f>COUNTIF(C66:T66,"&gt;"&amp;VLOOKUP(B66,MetaTable,3,FALSE))</f>
        <v>0</v>
      </c>
      <c r="V66">
        <v>4.72</v>
      </c>
      <c r="W66">
        <f t="shared" si="0"/>
        <v>4.72</v>
      </c>
    </row>
    <row r="67" spans="1:23" x14ac:dyDescent="0.45">
      <c r="A67" s="1" t="s">
        <v>70</v>
      </c>
      <c r="B67" s="1" t="s">
        <v>5</v>
      </c>
      <c r="C67" s="2">
        <v>0</v>
      </c>
      <c r="D67" s="2">
        <v>0</v>
      </c>
      <c r="E67" s="2">
        <v>0.96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1.2000000000000002</v>
      </c>
      <c r="Q67" s="2">
        <v>0.16</v>
      </c>
      <c r="R67" s="2">
        <v>0</v>
      </c>
      <c r="S67" s="2">
        <v>0.8</v>
      </c>
      <c r="T67" s="2">
        <v>0</v>
      </c>
      <c r="U67" s="1">
        <f>COUNTIF(C67:T67,"&gt;"&amp;VLOOKUP(B67,MetaTable,3,FALSE))</f>
        <v>0</v>
      </c>
      <c r="V67">
        <v>3.12</v>
      </c>
      <c r="W67">
        <f t="shared" ref="W67:W130" si="1">V67/MAX(1,COUNTIF(C67:T67,"&gt;1"))</f>
        <v>3.12</v>
      </c>
    </row>
    <row r="68" spans="1:23" x14ac:dyDescent="0.45">
      <c r="A68" s="1" t="s">
        <v>71</v>
      </c>
      <c r="B68" s="1" t="s">
        <v>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0.66</v>
      </c>
      <c r="I68" s="2">
        <v>0</v>
      </c>
      <c r="J68" s="2">
        <v>0.24</v>
      </c>
      <c r="K68" s="2">
        <v>0</v>
      </c>
      <c r="L68" s="2">
        <v>0</v>
      </c>
      <c r="M68" s="2">
        <v>1.78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1">
        <f>COUNTIF(C68:T68,"&gt;"&amp;VLOOKUP(B68,MetaTable,3,FALSE))</f>
        <v>0</v>
      </c>
      <c r="V68">
        <v>2.68</v>
      </c>
      <c r="W68">
        <f t="shared" si="1"/>
        <v>2.68</v>
      </c>
    </row>
    <row r="69" spans="1:23" x14ac:dyDescent="0.45">
      <c r="A69" s="1" t="s">
        <v>72</v>
      </c>
      <c r="B69" s="1" t="s">
        <v>5</v>
      </c>
      <c r="C69" s="2">
        <v>0</v>
      </c>
      <c r="D69" s="2">
        <v>0</v>
      </c>
      <c r="E69" s="2">
        <v>0</v>
      </c>
      <c r="F69" s="2">
        <v>0</v>
      </c>
      <c r="G69" s="2">
        <v>0.96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0.56000000000000005</v>
      </c>
      <c r="O69" s="2">
        <v>0</v>
      </c>
      <c r="P69" s="2">
        <v>-0.2</v>
      </c>
      <c r="Q69" s="2">
        <v>0</v>
      </c>
      <c r="R69" s="2">
        <v>0</v>
      </c>
      <c r="S69" s="2">
        <v>0</v>
      </c>
      <c r="T69" s="2">
        <v>0</v>
      </c>
      <c r="U69" s="1">
        <f>COUNTIF(C69:T69,"&gt;"&amp;VLOOKUP(B69,MetaTable,3,FALSE))</f>
        <v>0</v>
      </c>
      <c r="V69">
        <v>1.32</v>
      </c>
      <c r="W69">
        <f t="shared" si="1"/>
        <v>1.32</v>
      </c>
    </row>
    <row r="70" spans="1:23" x14ac:dyDescent="0.45">
      <c r="A70" s="1" t="s">
        <v>73</v>
      </c>
      <c r="B70" s="1" t="s">
        <v>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1.1200000000000001</v>
      </c>
      <c r="U70" s="1">
        <f>COUNTIF(C70:T70,"&gt;"&amp;VLOOKUP(B70,MetaTable,3,FALSE))</f>
        <v>0</v>
      </c>
      <c r="V70">
        <v>1.1200000000000001</v>
      </c>
      <c r="W70">
        <f t="shared" si="1"/>
        <v>1.1200000000000001</v>
      </c>
    </row>
    <row r="71" spans="1:23" x14ac:dyDescent="0.45">
      <c r="A71" s="1" t="s">
        <v>74</v>
      </c>
      <c r="B71" s="1" t="s">
        <v>5</v>
      </c>
      <c r="C71" s="2">
        <v>0</v>
      </c>
      <c r="D71" s="2">
        <v>0</v>
      </c>
      <c r="E71" s="2">
        <v>0</v>
      </c>
      <c r="F71" s="2">
        <v>0.04</v>
      </c>
      <c r="G71" s="2">
        <v>0</v>
      </c>
      <c r="H71" s="2">
        <v>0</v>
      </c>
      <c r="I71" s="2">
        <v>0</v>
      </c>
      <c r="J71" s="2">
        <v>0</v>
      </c>
      <c r="K71" s="2">
        <v>0.2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-0.1</v>
      </c>
      <c r="R71" s="2">
        <v>0</v>
      </c>
      <c r="S71" s="2">
        <v>0.64</v>
      </c>
      <c r="T71" s="2">
        <v>0</v>
      </c>
      <c r="U71" s="1">
        <f>COUNTIF(C71:T71,"&gt;"&amp;VLOOKUP(B71,MetaTable,3,FALSE))</f>
        <v>0</v>
      </c>
      <c r="V71">
        <v>0.78</v>
      </c>
      <c r="W71">
        <f t="shared" si="1"/>
        <v>0.78</v>
      </c>
    </row>
    <row r="72" spans="1:23" x14ac:dyDescent="0.45">
      <c r="A72" s="1" t="s">
        <v>75</v>
      </c>
      <c r="B72" s="1" t="s">
        <v>5</v>
      </c>
      <c r="C72" s="2">
        <v>0</v>
      </c>
      <c r="D72" s="2">
        <v>0</v>
      </c>
      <c r="E72" s="2">
        <v>0</v>
      </c>
      <c r="F72" s="2">
        <v>0</v>
      </c>
      <c r="G72" s="2">
        <v>0.76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1">
        <f>COUNTIF(C72:T72,"&gt;"&amp;VLOOKUP(B72,MetaTable,3,FALSE))</f>
        <v>0</v>
      </c>
      <c r="V72">
        <v>0.76</v>
      </c>
      <c r="W72">
        <f t="shared" si="1"/>
        <v>0.76</v>
      </c>
    </row>
    <row r="73" spans="1:23" x14ac:dyDescent="0.45">
      <c r="A73" s="1" t="s">
        <v>76</v>
      </c>
      <c r="B73" s="1" t="s">
        <v>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0.5</v>
      </c>
      <c r="U73" s="1">
        <f>COUNTIF(C73:T73,"&gt;"&amp;VLOOKUP(B73,MetaTable,3,FALSE))</f>
        <v>0</v>
      </c>
      <c r="V73">
        <v>0.5</v>
      </c>
      <c r="W73">
        <f t="shared" si="1"/>
        <v>0.5</v>
      </c>
    </row>
    <row r="74" spans="1:23" x14ac:dyDescent="0.45">
      <c r="A74" s="1" t="s">
        <v>77</v>
      </c>
      <c r="B74" s="1" t="s">
        <v>5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-0.2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0.70000000000000007</v>
      </c>
      <c r="U74" s="1">
        <f>COUNTIF(C74:T74,"&gt;"&amp;VLOOKUP(B74,MetaTable,3,FALSE))</f>
        <v>0</v>
      </c>
      <c r="V74">
        <v>0.5</v>
      </c>
      <c r="W74">
        <f t="shared" si="1"/>
        <v>0.5</v>
      </c>
    </row>
    <row r="75" spans="1:23" x14ac:dyDescent="0.45">
      <c r="A75" s="1" t="s">
        <v>78</v>
      </c>
      <c r="B75" s="1" t="s">
        <v>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-0.1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-0.1</v>
      </c>
      <c r="S75" s="2">
        <v>0</v>
      </c>
      <c r="T75" s="2">
        <v>0</v>
      </c>
      <c r="U75" s="1">
        <f>COUNTIF(C75:T75,"&gt;"&amp;VLOOKUP(B75,MetaTable,3,FALSE))</f>
        <v>0</v>
      </c>
      <c r="V75">
        <v>-0.2</v>
      </c>
      <c r="W75">
        <f t="shared" si="1"/>
        <v>-0.2</v>
      </c>
    </row>
    <row r="76" spans="1:23" x14ac:dyDescent="0.45">
      <c r="A76" s="1" t="s">
        <v>79</v>
      </c>
      <c r="B76" s="1" t="s">
        <v>5</v>
      </c>
      <c r="C76" s="2">
        <v>-0.2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0.2</v>
      </c>
      <c r="P76" s="2">
        <v>0</v>
      </c>
      <c r="Q76" s="2">
        <v>0</v>
      </c>
      <c r="R76" s="2">
        <v>0</v>
      </c>
      <c r="S76" s="2">
        <v>-0.2</v>
      </c>
      <c r="T76" s="2">
        <v>0</v>
      </c>
      <c r="U76" s="1">
        <f>COUNTIF(C76:T76,"&gt;"&amp;VLOOKUP(B76,MetaTable,3,FALSE))</f>
        <v>0</v>
      </c>
      <c r="V76">
        <v>-0.2</v>
      </c>
      <c r="W76">
        <f t="shared" si="1"/>
        <v>-0.2</v>
      </c>
    </row>
    <row r="77" spans="1:23" x14ac:dyDescent="0.45">
      <c r="A77" s="1" t="s">
        <v>80</v>
      </c>
      <c r="B77" s="1" t="s">
        <v>5</v>
      </c>
      <c r="C77" s="2">
        <v>0</v>
      </c>
      <c r="D77" s="2">
        <v>0</v>
      </c>
      <c r="E77" s="2">
        <v>0</v>
      </c>
      <c r="F77" s="2">
        <v>0</v>
      </c>
      <c r="G77" s="2">
        <v>-0.4</v>
      </c>
      <c r="H77" s="2">
        <v>-0.30000000000000004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0.24</v>
      </c>
      <c r="Q77" s="2">
        <v>0.2</v>
      </c>
      <c r="R77" s="2">
        <v>0</v>
      </c>
      <c r="S77" s="2">
        <v>0</v>
      </c>
      <c r="T77" s="2">
        <v>0</v>
      </c>
      <c r="U77" s="1">
        <f>COUNTIF(C77:T77,"&gt;"&amp;VLOOKUP(B77,MetaTable,3,FALSE))</f>
        <v>0</v>
      </c>
      <c r="V77">
        <v>-0.26</v>
      </c>
      <c r="W77">
        <f t="shared" si="1"/>
        <v>-0.26</v>
      </c>
    </row>
    <row r="78" spans="1:23" x14ac:dyDescent="0.45">
      <c r="A78" s="1" t="s">
        <v>81</v>
      </c>
      <c r="B78" s="1" t="s">
        <v>5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-0.84000000000000008</v>
      </c>
      <c r="R78" s="2">
        <v>0</v>
      </c>
      <c r="S78" s="2">
        <v>0</v>
      </c>
      <c r="T78" s="2">
        <v>0</v>
      </c>
      <c r="U78" s="1">
        <f>COUNTIF(C78:T78,"&gt;"&amp;VLOOKUP(B78,MetaTable,3,FALSE))</f>
        <v>0</v>
      </c>
      <c r="V78">
        <v>-0.84</v>
      </c>
      <c r="W78">
        <f t="shared" si="1"/>
        <v>-0.84</v>
      </c>
    </row>
    <row r="79" spans="1:23" x14ac:dyDescent="0.45">
      <c r="A79" s="1" t="s">
        <v>82</v>
      </c>
      <c r="B79" s="1" t="s">
        <v>5</v>
      </c>
      <c r="C79" s="2">
        <v>0</v>
      </c>
      <c r="D79" s="2">
        <v>-2.6</v>
      </c>
      <c r="E79" s="2">
        <v>0</v>
      </c>
      <c r="F79" s="2">
        <v>0</v>
      </c>
      <c r="G79" s="2">
        <v>0</v>
      </c>
      <c r="H79" s="2">
        <v>0</v>
      </c>
      <c r="I79" s="2">
        <v>0.2</v>
      </c>
      <c r="J79" s="2">
        <v>0</v>
      </c>
      <c r="K79" s="2">
        <v>0</v>
      </c>
      <c r="L79" s="2">
        <v>-0.1</v>
      </c>
      <c r="M79" s="2">
        <v>0</v>
      </c>
      <c r="N79" s="2">
        <v>0</v>
      </c>
      <c r="O79" s="2">
        <v>0</v>
      </c>
      <c r="P79" s="2">
        <v>0</v>
      </c>
      <c r="Q79" s="2">
        <v>0.22</v>
      </c>
      <c r="R79" s="2">
        <v>0</v>
      </c>
      <c r="S79" s="2">
        <v>0</v>
      </c>
      <c r="T79" s="2">
        <v>0.2</v>
      </c>
      <c r="U79" s="1">
        <f>COUNTIF(C79:T79,"&gt;"&amp;VLOOKUP(B79,MetaTable,3,FALSE))</f>
        <v>0</v>
      </c>
      <c r="V79">
        <v>-2.08</v>
      </c>
      <c r="W79">
        <f t="shared" si="1"/>
        <v>-2.08</v>
      </c>
    </row>
    <row r="80" spans="1:23" x14ac:dyDescent="0.45">
      <c r="A80" s="1" t="s">
        <v>83</v>
      </c>
      <c r="B80" s="1" t="s">
        <v>84</v>
      </c>
      <c r="C80" s="2">
        <v>19.5</v>
      </c>
      <c r="D80" s="2">
        <v>43</v>
      </c>
      <c r="E80" s="2">
        <v>14.200000000000001</v>
      </c>
      <c r="F80" s="2">
        <v>21.4</v>
      </c>
      <c r="G80" s="2">
        <v>9.6</v>
      </c>
      <c r="H80" s="2">
        <v>14.9</v>
      </c>
      <c r="I80" s="2">
        <v>5.4</v>
      </c>
      <c r="J80" s="2">
        <v>15.2</v>
      </c>
      <c r="K80" s="2">
        <v>24.5</v>
      </c>
      <c r="L80" s="2">
        <v>13.4</v>
      </c>
      <c r="M80" s="2">
        <v>10.899999999999999</v>
      </c>
      <c r="N80" s="2">
        <v>0</v>
      </c>
      <c r="O80" s="2">
        <v>13.9</v>
      </c>
      <c r="P80" s="2">
        <v>10.4</v>
      </c>
      <c r="Q80" s="2">
        <v>15</v>
      </c>
      <c r="R80" s="2">
        <v>0</v>
      </c>
      <c r="S80" s="2">
        <v>0</v>
      </c>
      <c r="T80" s="2">
        <v>0</v>
      </c>
      <c r="U80" s="1">
        <f>COUNTIF(C80:T80,"&gt;"&amp;VLOOKUP(B80,MetaTable,3,FALSE))</f>
        <v>12</v>
      </c>
      <c r="V80">
        <v>231.3</v>
      </c>
      <c r="W80">
        <f t="shared" si="1"/>
        <v>16.521428571428572</v>
      </c>
    </row>
    <row r="81" spans="1:23" x14ac:dyDescent="0.45">
      <c r="A81" s="1" t="s">
        <v>85</v>
      </c>
      <c r="B81" s="1" t="s">
        <v>84</v>
      </c>
      <c r="C81" s="2">
        <v>15.4</v>
      </c>
      <c r="D81" s="2">
        <v>14.100000000000001</v>
      </c>
      <c r="E81" s="2">
        <v>16.3</v>
      </c>
      <c r="F81" s="2">
        <v>19.8</v>
      </c>
      <c r="G81" s="2">
        <v>0</v>
      </c>
      <c r="H81" s="2">
        <v>10.600000000000001</v>
      </c>
      <c r="I81" s="2">
        <v>30</v>
      </c>
      <c r="J81" s="2">
        <v>19.800000000000004</v>
      </c>
      <c r="K81" s="2">
        <v>14.1</v>
      </c>
      <c r="L81" s="2">
        <v>11.8</v>
      </c>
      <c r="M81" s="2">
        <v>18.8</v>
      </c>
      <c r="N81" s="2">
        <v>23.4</v>
      </c>
      <c r="O81" s="2">
        <v>9.4000000000000021</v>
      </c>
      <c r="P81" s="2">
        <v>16.3</v>
      </c>
      <c r="Q81" s="2">
        <v>25.9</v>
      </c>
      <c r="R81" s="2">
        <v>23.4</v>
      </c>
      <c r="S81" s="2">
        <v>24.300000000000004</v>
      </c>
      <c r="T81" s="2">
        <v>43.5</v>
      </c>
      <c r="U81" s="1">
        <f>COUNTIF(C81:T81,"&gt;"&amp;VLOOKUP(B81,MetaTable,3,FALSE))</f>
        <v>16</v>
      </c>
      <c r="V81">
        <v>336.9</v>
      </c>
      <c r="W81">
        <f t="shared" si="1"/>
        <v>19.817647058823528</v>
      </c>
    </row>
    <row r="82" spans="1:23" x14ac:dyDescent="0.45">
      <c r="A82" s="1" t="s">
        <v>86</v>
      </c>
      <c r="B82" s="1" t="s">
        <v>84</v>
      </c>
      <c r="C82" s="2">
        <v>32.200000000000003</v>
      </c>
      <c r="D82" s="2">
        <v>15.6</v>
      </c>
      <c r="E82" s="2">
        <v>31.6</v>
      </c>
      <c r="F82" s="2">
        <v>12.600000000000001</v>
      </c>
      <c r="G82" s="2">
        <v>0</v>
      </c>
      <c r="H82" s="2">
        <v>6.4</v>
      </c>
      <c r="I82" s="2">
        <v>25.700000000000003</v>
      </c>
      <c r="J82" s="2">
        <v>11.600000000000001</v>
      </c>
      <c r="K82" s="2">
        <v>31.4</v>
      </c>
      <c r="L82" s="2">
        <v>8.3000000000000007</v>
      </c>
      <c r="M82" s="2">
        <v>32.800000000000004</v>
      </c>
      <c r="N82" s="2">
        <v>44.2</v>
      </c>
      <c r="O82" s="2">
        <v>18.700000000000003</v>
      </c>
      <c r="P82" s="2">
        <v>14.4</v>
      </c>
      <c r="Q82" s="2">
        <v>8.4</v>
      </c>
      <c r="R82" s="2">
        <v>27</v>
      </c>
      <c r="S82" s="2">
        <v>17.899999999999999</v>
      </c>
      <c r="T82" s="2">
        <v>0</v>
      </c>
      <c r="U82" s="1">
        <f>COUNTIF(C82:T82,"&gt;"&amp;VLOOKUP(B82,MetaTable,3,FALSE))</f>
        <v>13</v>
      </c>
      <c r="V82">
        <v>338.8</v>
      </c>
      <c r="W82">
        <f t="shared" si="1"/>
        <v>21.175000000000001</v>
      </c>
    </row>
    <row r="83" spans="1:23" x14ac:dyDescent="0.45">
      <c r="A83" s="1" t="s">
        <v>87</v>
      </c>
      <c r="B83" s="1" t="s">
        <v>84</v>
      </c>
      <c r="C83" s="2">
        <v>10.600000000000001</v>
      </c>
      <c r="D83" s="2">
        <v>16.100000000000001</v>
      </c>
      <c r="E83" s="2">
        <v>29.900000000000002</v>
      </c>
      <c r="F83" s="2">
        <v>34.400000000000006</v>
      </c>
      <c r="G83" s="2">
        <v>16.100000000000001</v>
      </c>
      <c r="H83" s="2">
        <v>25.200000000000003</v>
      </c>
      <c r="I83" s="2">
        <v>24.700000000000003</v>
      </c>
      <c r="J83" s="2">
        <v>14.200000000000001</v>
      </c>
      <c r="K83" s="2">
        <v>25.8</v>
      </c>
      <c r="L83" s="2">
        <v>13.600000000000001</v>
      </c>
      <c r="M83" s="2">
        <v>10.5</v>
      </c>
      <c r="N83" s="2">
        <v>14</v>
      </c>
      <c r="O83" s="2">
        <v>12.600000000000001</v>
      </c>
      <c r="P83" s="2">
        <v>0</v>
      </c>
      <c r="Q83" s="2">
        <v>6.7</v>
      </c>
      <c r="R83" s="2">
        <v>19.899999999999999</v>
      </c>
      <c r="S83" s="2">
        <v>23.500000000000004</v>
      </c>
      <c r="T83" s="2">
        <v>29.1</v>
      </c>
      <c r="U83" s="1">
        <f>COUNTIF(C83:T83,"&gt;"&amp;VLOOKUP(B83,MetaTable,3,FALSE))</f>
        <v>16</v>
      </c>
      <c r="V83">
        <v>326.89999999999998</v>
      </c>
      <c r="W83">
        <f t="shared" si="1"/>
        <v>19.22941176470588</v>
      </c>
    </row>
    <row r="84" spans="1:23" x14ac:dyDescent="0.45">
      <c r="A84" s="1" t="s">
        <v>88</v>
      </c>
      <c r="B84" s="1" t="s">
        <v>84</v>
      </c>
      <c r="C84" s="2">
        <v>13.600000000000001</v>
      </c>
      <c r="D84" s="2">
        <v>14.200000000000001</v>
      </c>
      <c r="E84" s="2">
        <v>12.2</v>
      </c>
      <c r="F84" s="2">
        <v>9.4000000000000021</v>
      </c>
      <c r="G84" s="2">
        <v>9.2000000000000011</v>
      </c>
      <c r="H84" s="2">
        <v>24</v>
      </c>
      <c r="I84" s="2">
        <v>21.8</v>
      </c>
      <c r="J84" s="2">
        <v>20.100000000000001</v>
      </c>
      <c r="K84" s="2">
        <v>18</v>
      </c>
      <c r="L84" s="2">
        <v>27.900000000000002</v>
      </c>
      <c r="M84" s="2">
        <v>8.3000000000000007</v>
      </c>
      <c r="N84" s="2">
        <v>0</v>
      </c>
      <c r="O84" s="2">
        <v>22.500000000000004</v>
      </c>
      <c r="P84" s="2">
        <v>19.100000000000001</v>
      </c>
      <c r="Q84" s="2">
        <v>14</v>
      </c>
      <c r="R84" s="2">
        <v>23.299999999999997</v>
      </c>
      <c r="S84" s="2">
        <v>23.3</v>
      </c>
      <c r="T84" s="2">
        <v>30.3</v>
      </c>
      <c r="U84" s="1">
        <f>COUNTIF(C84:T84,"&gt;"&amp;VLOOKUP(B84,MetaTable,3,FALSE))</f>
        <v>14</v>
      </c>
      <c r="V84">
        <v>311.2</v>
      </c>
      <c r="W84">
        <f t="shared" si="1"/>
        <v>18.305882352941175</v>
      </c>
    </row>
    <row r="85" spans="1:23" x14ac:dyDescent="0.45">
      <c r="A85" s="1" t="s">
        <v>89</v>
      </c>
      <c r="B85" s="1" t="s">
        <v>84</v>
      </c>
      <c r="C85" s="2">
        <v>19.5</v>
      </c>
      <c r="D85" s="2">
        <v>26</v>
      </c>
      <c r="E85" s="2">
        <v>7.3000000000000007</v>
      </c>
      <c r="F85" s="2">
        <v>4.4000000000000004</v>
      </c>
      <c r="G85" s="2">
        <v>2.1999999999999997</v>
      </c>
      <c r="H85" s="2">
        <v>0</v>
      </c>
      <c r="I85" s="2">
        <v>9.5</v>
      </c>
      <c r="J85" s="2">
        <v>23.700000000000003</v>
      </c>
      <c r="K85" s="2">
        <v>28.1</v>
      </c>
      <c r="L85" s="2">
        <v>7.7</v>
      </c>
      <c r="M85" s="2">
        <v>18.5</v>
      </c>
      <c r="N85" s="2">
        <v>19.100000000000001</v>
      </c>
      <c r="O85" s="2">
        <v>17</v>
      </c>
      <c r="P85" s="2">
        <v>15.9</v>
      </c>
      <c r="Q85" s="2">
        <v>11.100000000000001</v>
      </c>
      <c r="R85" s="2">
        <v>28</v>
      </c>
      <c r="S85" s="2">
        <v>4.8</v>
      </c>
      <c r="T85" s="2">
        <v>18.100000000000001</v>
      </c>
      <c r="U85" s="1">
        <f>COUNTIF(C85:T85,"&gt;"&amp;VLOOKUP(B85,MetaTable,3,FALSE))</f>
        <v>11</v>
      </c>
      <c r="V85">
        <v>260.89999999999998</v>
      </c>
      <c r="W85">
        <f t="shared" si="1"/>
        <v>15.347058823529411</v>
      </c>
    </row>
    <row r="86" spans="1:23" x14ac:dyDescent="0.45">
      <c r="A86" s="1" t="s">
        <v>90</v>
      </c>
      <c r="B86" s="1" t="s">
        <v>84</v>
      </c>
      <c r="C86" s="2">
        <v>11.4</v>
      </c>
      <c r="D86" s="2">
        <v>13.100000000000001</v>
      </c>
      <c r="E86" s="2">
        <v>5.3</v>
      </c>
      <c r="F86" s="2">
        <v>9.8000000000000007</v>
      </c>
      <c r="G86" s="2">
        <v>15.9</v>
      </c>
      <c r="H86" s="2">
        <v>10.5</v>
      </c>
      <c r="I86" s="2">
        <v>17.700000000000003</v>
      </c>
      <c r="J86" s="2">
        <v>25.000000000000004</v>
      </c>
      <c r="K86" s="2">
        <v>11.8</v>
      </c>
      <c r="L86" s="2">
        <v>0</v>
      </c>
      <c r="M86" s="2">
        <v>21.400000000000002</v>
      </c>
      <c r="N86" s="2">
        <v>28.6</v>
      </c>
      <c r="O86" s="2">
        <v>19.700000000000003</v>
      </c>
      <c r="P86" s="2">
        <v>24.6</v>
      </c>
      <c r="Q86" s="2">
        <v>19.599999999999998</v>
      </c>
      <c r="R86" s="2">
        <v>18.7</v>
      </c>
      <c r="S86" s="2">
        <v>10.9</v>
      </c>
      <c r="T86" s="2">
        <v>11.1</v>
      </c>
      <c r="U86" s="1">
        <f>COUNTIF(C86:T86,"&gt;"&amp;VLOOKUP(B86,MetaTable,3,FALSE))</f>
        <v>15</v>
      </c>
      <c r="V86">
        <v>275.10000000000002</v>
      </c>
      <c r="W86">
        <f t="shared" si="1"/>
        <v>16.182352941176472</v>
      </c>
    </row>
    <row r="87" spans="1:23" x14ac:dyDescent="0.45">
      <c r="A87" s="1" t="s">
        <v>91</v>
      </c>
      <c r="B87" s="1" t="s">
        <v>84</v>
      </c>
      <c r="C87" s="2">
        <v>3.7</v>
      </c>
      <c r="D87" s="2">
        <v>7.9</v>
      </c>
      <c r="E87" s="2">
        <v>7.1000000000000005</v>
      </c>
      <c r="F87" s="2">
        <v>12.600000000000001</v>
      </c>
      <c r="G87" s="2">
        <v>18.400000000000002</v>
      </c>
      <c r="H87" s="2">
        <v>8</v>
      </c>
      <c r="I87" s="2">
        <v>0</v>
      </c>
      <c r="J87" s="2">
        <v>0</v>
      </c>
      <c r="K87" s="2">
        <v>19.2</v>
      </c>
      <c r="L87" s="2">
        <v>7.1000000000000005</v>
      </c>
      <c r="M87" s="2">
        <v>4.4000000000000004</v>
      </c>
      <c r="N87" s="2">
        <v>9.3000000000000007</v>
      </c>
      <c r="O87" s="2">
        <v>19.800000000000004</v>
      </c>
      <c r="P87" s="2">
        <v>14.600000000000001</v>
      </c>
      <c r="Q87" s="2">
        <v>14.9</v>
      </c>
      <c r="R87" s="2">
        <v>6.6000000000000005</v>
      </c>
      <c r="S87" s="2">
        <v>9.3000000000000007</v>
      </c>
      <c r="T87" s="2">
        <v>15.399999999999999</v>
      </c>
      <c r="U87" s="1">
        <f>COUNTIF(C87:T87,"&gt;"&amp;VLOOKUP(B87,MetaTable,3,FALSE))</f>
        <v>7</v>
      </c>
      <c r="V87">
        <v>178.3</v>
      </c>
      <c r="W87">
        <f t="shared" si="1"/>
        <v>11.143750000000001</v>
      </c>
    </row>
    <row r="88" spans="1:23" x14ac:dyDescent="0.45">
      <c r="A88" s="1" t="s">
        <v>92</v>
      </c>
      <c r="B88" s="1" t="s">
        <v>84</v>
      </c>
      <c r="C88" s="2">
        <v>13.6</v>
      </c>
      <c r="D88" s="2">
        <v>2.8</v>
      </c>
      <c r="E88" s="2">
        <v>6</v>
      </c>
      <c r="F88" s="2">
        <v>9.4</v>
      </c>
      <c r="G88" s="2">
        <v>8.1</v>
      </c>
      <c r="H88" s="2">
        <v>0</v>
      </c>
      <c r="I88" s="2">
        <v>26.1</v>
      </c>
      <c r="J88" s="2">
        <v>13.200000000000001</v>
      </c>
      <c r="K88" s="2">
        <v>11</v>
      </c>
      <c r="L88" s="2">
        <v>16</v>
      </c>
      <c r="M88" s="2">
        <v>0</v>
      </c>
      <c r="N88" s="2">
        <v>11.2</v>
      </c>
      <c r="O88" s="2">
        <v>8.3000000000000007</v>
      </c>
      <c r="P88" s="2">
        <v>23.9</v>
      </c>
      <c r="Q88" s="2">
        <v>13.100000000000001</v>
      </c>
      <c r="R88" s="2">
        <v>7.5</v>
      </c>
      <c r="S88" s="2">
        <v>3.9</v>
      </c>
      <c r="T88" s="2">
        <v>0</v>
      </c>
      <c r="U88" s="1">
        <f>COUNTIF(C88:T88,"&gt;"&amp;VLOOKUP(B88,MetaTable,3,FALSE))</f>
        <v>8</v>
      </c>
      <c r="V88">
        <v>174.1</v>
      </c>
      <c r="W88">
        <f t="shared" si="1"/>
        <v>11.606666666666666</v>
      </c>
    </row>
    <row r="89" spans="1:23" x14ac:dyDescent="0.45">
      <c r="A89" s="1" t="s">
        <v>93</v>
      </c>
      <c r="B89" s="1" t="s">
        <v>84</v>
      </c>
      <c r="C89" s="2">
        <v>11.100000000000001</v>
      </c>
      <c r="D89" s="2">
        <v>15.4</v>
      </c>
      <c r="E89" s="2">
        <v>24.200000000000003</v>
      </c>
      <c r="F89" s="2">
        <v>7.9</v>
      </c>
      <c r="G89" s="2">
        <v>4.5</v>
      </c>
      <c r="H89" s="2">
        <v>4</v>
      </c>
      <c r="I89" s="2">
        <v>1.4000000000000001</v>
      </c>
      <c r="J89" s="2">
        <v>9.9</v>
      </c>
      <c r="K89" s="2">
        <v>4.3</v>
      </c>
      <c r="L89" s="2">
        <v>0</v>
      </c>
      <c r="M89" s="2">
        <v>1.5</v>
      </c>
      <c r="N89" s="2">
        <v>2.2000000000000002</v>
      </c>
      <c r="O89" s="2">
        <v>11.100000000000001</v>
      </c>
      <c r="P89" s="2">
        <v>34.799999999999997</v>
      </c>
      <c r="Q89" s="2">
        <v>13.100000000000001</v>
      </c>
      <c r="R89" s="2">
        <v>2.3000000000000003</v>
      </c>
      <c r="S89" s="2">
        <v>9.1</v>
      </c>
      <c r="T89" s="2">
        <v>9.1000000000000014</v>
      </c>
      <c r="U89" s="1">
        <f>COUNTIF(C89:T89,"&gt;"&amp;VLOOKUP(B89,MetaTable,3,FALSE))</f>
        <v>6</v>
      </c>
      <c r="V89">
        <v>165.9</v>
      </c>
      <c r="W89">
        <f t="shared" si="1"/>
        <v>9.7588235294117656</v>
      </c>
    </row>
    <row r="90" spans="1:23" x14ac:dyDescent="0.45">
      <c r="A90" s="1" t="s">
        <v>94</v>
      </c>
      <c r="B90" s="1" t="s">
        <v>84</v>
      </c>
      <c r="C90" s="2">
        <v>10.9</v>
      </c>
      <c r="D90" s="2">
        <v>13.299999999999999</v>
      </c>
      <c r="E90" s="2">
        <v>10.5</v>
      </c>
      <c r="F90" s="2">
        <v>6.5</v>
      </c>
      <c r="G90" s="2">
        <v>9</v>
      </c>
      <c r="H90" s="2">
        <v>-0.1</v>
      </c>
      <c r="I90" s="2">
        <v>0</v>
      </c>
      <c r="J90" s="2">
        <v>0</v>
      </c>
      <c r="K90" s="2">
        <v>4</v>
      </c>
      <c r="L90" s="2">
        <v>4.8000000000000007</v>
      </c>
      <c r="M90" s="2">
        <v>4.8000000000000007</v>
      </c>
      <c r="N90" s="2">
        <v>0</v>
      </c>
      <c r="O90" s="2">
        <v>7.3000000000000007</v>
      </c>
      <c r="P90" s="2">
        <v>9</v>
      </c>
      <c r="Q90" s="2">
        <v>10.5</v>
      </c>
      <c r="R90" s="2">
        <v>4.7</v>
      </c>
      <c r="S90" s="2">
        <v>8</v>
      </c>
      <c r="T90" s="2">
        <v>7.5</v>
      </c>
      <c r="U90" s="1">
        <f>COUNTIF(C90:T90,"&gt;"&amp;VLOOKUP(B90,MetaTable,3,FALSE))</f>
        <v>4</v>
      </c>
      <c r="V90">
        <v>110.7</v>
      </c>
      <c r="W90">
        <f t="shared" si="1"/>
        <v>7.9071428571428575</v>
      </c>
    </row>
    <row r="91" spans="1:23" x14ac:dyDescent="0.45">
      <c r="A91" s="1" t="s">
        <v>95</v>
      </c>
      <c r="B91" s="1" t="s">
        <v>84</v>
      </c>
      <c r="C91" s="2">
        <v>11.8</v>
      </c>
      <c r="D91" s="2">
        <v>28</v>
      </c>
      <c r="E91" s="2">
        <v>16.700000000000003</v>
      </c>
      <c r="F91" s="2">
        <v>5.3000000000000007</v>
      </c>
      <c r="G91" s="2">
        <v>16.900000000000002</v>
      </c>
      <c r="H91" s="2">
        <v>0</v>
      </c>
      <c r="I91" s="2">
        <v>9.1999999999999993</v>
      </c>
      <c r="J91" s="2">
        <v>26.8</v>
      </c>
      <c r="K91" s="2">
        <v>9.4</v>
      </c>
      <c r="L91" s="2">
        <v>15</v>
      </c>
      <c r="M91" s="2">
        <v>17.2</v>
      </c>
      <c r="N91" s="2">
        <v>0</v>
      </c>
      <c r="O91" s="2">
        <v>18.500000000000004</v>
      </c>
      <c r="P91" s="2">
        <v>3.9</v>
      </c>
      <c r="Q91" s="2">
        <v>25.8</v>
      </c>
      <c r="R91" s="2">
        <v>26.1</v>
      </c>
      <c r="S91" s="2">
        <v>11.3</v>
      </c>
      <c r="T91" s="2">
        <v>8.8000000000000007</v>
      </c>
      <c r="U91" s="1">
        <f>COUNTIF(C91:T91,"&gt;"&amp;VLOOKUP(B91,MetaTable,3,FALSE))</f>
        <v>11</v>
      </c>
      <c r="V91">
        <v>250.7</v>
      </c>
      <c r="W91">
        <f t="shared" si="1"/>
        <v>15.668749999999999</v>
      </c>
    </row>
    <row r="92" spans="1:23" x14ac:dyDescent="0.45">
      <c r="A92" s="1" t="s">
        <v>96</v>
      </c>
      <c r="B92" s="1" t="s">
        <v>84</v>
      </c>
      <c r="C92" s="2">
        <v>17.8</v>
      </c>
      <c r="D92" s="2">
        <v>18.900000000000002</v>
      </c>
      <c r="E92" s="2">
        <v>3</v>
      </c>
      <c r="F92" s="2">
        <v>17.799999999999997</v>
      </c>
      <c r="G92" s="2">
        <v>13</v>
      </c>
      <c r="H92" s="2">
        <v>4.6000000000000005</v>
      </c>
      <c r="I92" s="2">
        <v>16.200000000000003</v>
      </c>
      <c r="J92" s="2">
        <v>13.9</v>
      </c>
      <c r="K92" s="2">
        <v>13.400000000000002</v>
      </c>
      <c r="L92" s="2">
        <v>19.8</v>
      </c>
      <c r="M92" s="2">
        <v>0</v>
      </c>
      <c r="N92" s="2">
        <v>7.4</v>
      </c>
      <c r="O92" s="2">
        <v>9.6000000000000014</v>
      </c>
      <c r="P92" s="2">
        <v>20.2</v>
      </c>
      <c r="Q92" s="2">
        <v>28.3</v>
      </c>
      <c r="R92" s="2">
        <v>24.6</v>
      </c>
      <c r="S92" s="2">
        <v>1.7999999999999998</v>
      </c>
      <c r="T92" s="2">
        <v>0</v>
      </c>
      <c r="U92" s="1">
        <f>COUNTIF(C92:T92,"&gt;"&amp;VLOOKUP(B92,MetaTable,3,FALSE))</f>
        <v>11</v>
      </c>
      <c r="V92">
        <v>230.3</v>
      </c>
      <c r="W92">
        <f t="shared" si="1"/>
        <v>14.393750000000001</v>
      </c>
    </row>
    <row r="93" spans="1:23" x14ac:dyDescent="0.45">
      <c r="A93" s="1" t="s">
        <v>97</v>
      </c>
      <c r="B93" s="1" t="s">
        <v>84</v>
      </c>
      <c r="C93" s="2">
        <v>25.299999999999997</v>
      </c>
      <c r="D93" s="2">
        <v>6.5</v>
      </c>
      <c r="E93" s="2">
        <v>0</v>
      </c>
      <c r="F93" s="2">
        <v>0</v>
      </c>
      <c r="G93" s="2">
        <v>0</v>
      </c>
      <c r="H93" s="2">
        <v>26.200000000000003</v>
      </c>
      <c r="I93" s="2">
        <v>25.4</v>
      </c>
      <c r="J93" s="2">
        <v>21.400000000000002</v>
      </c>
      <c r="K93" s="2">
        <v>16.600000000000001</v>
      </c>
      <c r="L93" s="2">
        <v>16</v>
      </c>
      <c r="M93" s="2">
        <v>34.299999999999997</v>
      </c>
      <c r="N93" s="2">
        <v>7</v>
      </c>
      <c r="O93" s="2">
        <v>19.900000000000002</v>
      </c>
      <c r="P93" s="2">
        <v>0</v>
      </c>
      <c r="Q93" s="2">
        <v>8.1000000000000014</v>
      </c>
      <c r="R93" s="2">
        <v>7.6000000000000005</v>
      </c>
      <c r="S93" s="2">
        <v>4.9000000000000004</v>
      </c>
      <c r="T93" s="2">
        <v>3.3000000000000003</v>
      </c>
      <c r="U93" s="1">
        <f>COUNTIF(C93:T93,"&gt;"&amp;VLOOKUP(B93,MetaTable,3,FALSE))</f>
        <v>8</v>
      </c>
      <c r="V93">
        <v>222.5</v>
      </c>
      <c r="W93">
        <f t="shared" si="1"/>
        <v>15.892857142857142</v>
      </c>
    </row>
    <row r="94" spans="1:23" x14ac:dyDescent="0.45">
      <c r="A94" s="1" t="s">
        <v>98</v>
      </c>
      <c r="B94" s="1" t="s">
        <v>84</v>
      </c>
      <c r="C94" s="2">
        <v>8.6</v>
      </c>
      <c r="D94" s="2">
        <v>2.2000000000000002</v>
      </c>
      <c r="E94" s="2">
        <v>9.9</v>
      </c>
      <c r="F94" s="2">
        <v>12</v>
      </c>
      <c r="G94" s="2">
        <v>4.6000000000000005</v>
      </c>
      <c r="H94" s="2">
        <v>17.5</v>
      </c>
      <c r="I94" s="2">
        <v>15.200000000000001</v>
      </c>
      <c r="J94" s="2">
        <v>11.9</v>
      </c>
      <c r="K94" s="2">
        <v>4.9000000000000004</v>
      </c>
      <c r="L94" s="2">
        <v>16.2</v>
      </c>
      <c r="M94" s="2">
        <v>0</v>
      </c>
      <c r="N94" s="2">
        <v>24.200000000000003</v>
      </c>
      <c r="O94" s="2">
        <v>26.000000000000004</v>
      </c>
      <c r="P94" s="2">
        <v>2.2999999999999998</v>
      </c>
      <c r="Q94" s="2">
        <v>12.3</v>
      </c>
      <c r="R94" s="2">
        <v>16.700000000000003</v>
      </c>
      <c r="S94" s="2">
        <v>21</v>
      </c>
      <c r="T94" s="2">
        <v>15.4</v>
      </c>
      <c r="U94" s="1">
        <f>COUNTIF(C94:T94,"&gt;"&amp;VLOOKUP(B94,MetaTable,3,FALSE))</f>
        <v>11</v>
      </c>
      <c r="V94">
        <v>220.9</v>
      </c>
      <c r="W94">
        <f t="shared" si="1"/>
        <v>12.994117647058824</v>
      </c>
    </row>
    <row r="95" spans="1:23" x14ac:dyDescent="0.45">
      <c r="A95" s="1" t="s">
        <v>99</v>
      </c>
      <c r="B95" s="1" t="s">
        <v>84</v>
      </c>
      <c r="C95" s="2">
        <v>12.9</v>
      </c>
      <c r="D95" s="2">
        <v>13.2</v>
      </c>
      <c r="E95" s="2">
        <v>30.599999999999998</v>
      </c>
      <c r="F95" s="2">
        <v>18.399999999999999</v>
      </c>
      <c r="G95" s="2">
        <v>15.000000000000004</v>
      </c>
      <c r="H95" s="2">
        <v>0</v>
      </c>
      <c r="I95" s="2">
        <v>19.600000000000001</v>
      </c>
      <c r="J95" s="2">
        <v>20.100000000000001</v>
      </c>
      <c r="K95" s="2">
        <v>10</v>
      </c>
      <c r="L95" s="2">
        <v>8.6999999999999993</v>
      </c>
      <c r="M95" s="2">
        <v>8.6</v>
      </c>
      <c r="N95" s="2">
        <v>11.2</v>
      </c>
      <c r="O95" s="2">
        <v>17.799999999999997</v>
      </c>
      <c r="P95" s="2">
        <v>22.700000000000003</v>
      </c>
      <c r="Q95" s="2">
        <v>12.200000000000001</v>
      </c>
      <c r="R95" s="2">
        <v>19.400000000000002</v>
      </c>
      <c r="S95" s="2">
        <v>14.700000000000001</v>
      </c>
      <c r="T95" s="2">
        <v>0</v>
      </c>
      <c r="U95" s="1">
        <f>COUNTIF(C95:T95,"&gt;"&amp;VLOOKUP(B95,MetaTable,3,FALSE))</f>
        <v>13</v>
      </c>
      <c r="V95">
        <v>255.1</v>
      </c>
      <c r="W95">
        <f t="shared" si="1"/>
        <v>15.94375</v>
      </c>
    </row>
    <row r="96" spans="1:23" x14ac:dyDescent="0.45">
      <c r="A96" s="1" t="s">
        <v>100</v>
      </c>
      <c r="B96" s="1" t="s">
        <v>84</v>
      </c>
      <c r="C96" s="2">
        <v>10.8</v>
      </c>
      <c r="D96" s="2">
        <v>14.5</v>
      </c>
      <c r="E96" s="2">
        <v>26</v>
      </c>
      <c r="F96" s="2">
        <v>18.3</v>
      </c>
      <c r="G96" s="2">
        <v>0</v>
      </c>
      <c r="H96" s="2">
        <v>0</v>
      </c>
      <c r="I96" s="2">
        <v>0</v>
      </c>
      <c r="J96" s="2">
        <v>18.2</v>
      </c>
      <c r="K96" s="2">
        <v>7.4</v>
      </c>
      <c r="L96" s="2">
        <v>13.200000000000001</v>
      </c>
      <c r="M96" s="2">
        <v>6.5</v>
      </c>
      <c r="N96" s="2">
        <v>3.5</v>
      </c>
      <c r="O96" s="2">
        <v>16.8</v>
      </c>
      <c r="P96" s="2">
        <v>0</v>
      </c>
      <c r="Q96" s="2">
        <v>9.6000000000000014</v>
      </c>
      <c r="R96" s="2">
        <v>39.799999999999997</v>
      </c>
      <c r="S96" s="2">
        <v>26.6</v>
      </c>
      <c r="T96" s="2">
        <v>24.5</v>
      </c>
      <c r="U96" s="1">
        <f>COUNTIF(C96:T96,"&gt;"&amp;VLOOKUP(B96,MetaTable,3,FALSE))</f>
        <v>10</v>
      </c>
      <c r="V96">
        <v>235.7</v>
      </c>
      <c r="W96">
        <f t="shared" si="1"/>
        <v>16.835714285714285</v>
      </c>
    </row>
    <row r="97" spans="1:23" x14ac:dyDescent="0.45">
      <c r="A97" s="1" t="s">
        <v>101</v>
      </c>
      <c r="B97" s="1" t="s">
        <v>84</v>
      </c>
      <c r="C97" s="2">
        <v>3.8000000000000003</v>
      </c>
      <c r="D97" s="2">
        <v>3.1</v>
      </c>
      <c r="E97" s="2">
        <v>7.9</v>
      </c>
      <c r="F97" s="2">
        <v>22.2</v>
      </c>
      <c r="G97" s="2">
        <v>14.900000000000002</v>
      </c>
      <c r="H97" s="2">
        <v>13.4</v>
      </c>
      <c r="I97" s="2">
        <v>6.3000000000000007</v>
      </c>
      <c r="J97" s="2">
        <v>10.399999999999999</v>
      </c>
      <c r="K97" s="2">
        <v>24.2</v>
      </c>
      <c r="L97" s="2">
        <v>17.899999999999999</v>
      </c>
      <c r="M97" s="2">
        <v>16.8</v>
      </c>
      <c r="N97" s="2">
        <v>0</v>
      </c>
      <c r="O97" s="2">
        <v>17.5</v>
      </c>
      <c r="P97" s="2">
        <v>21.3</v>
      </c>
      <c r="Q97" s="2">
        <v>24.800000000000004</v>
      </c>
      <c r="R97" s="2">
        <v>12.4</v>
      </c>
      <c r="S97" s="2">
        <v>11.1</v>
      </c>
      <c r="T97" s="2">
        <v>0</v>
      </c>
      <c r="U97" s="1">
        <f>COUNTIF(C97:T97,"&gt;"&amp;VLOOKUP(B97,MetaTable,3,FALSE))</f>
        <v>12</v>
      </c>
      <c r="V97">
        <v>228</v>
      </c>
      <c r="W97">
        <f t="shared" si="1"/>
        <v>14.25</v>
      </c>
    </row>
    <row r="98" spans="1:23" x14ac:dyDescent="0.45">
      <c r="A98" s="1" t="s">
        <v>102</v>
      </c>
      <c r="B98" s="1" t="s">
        <v>84</v>
      </c>
      <c r="C98" s="2">
        <v>1.4000000000000001</v>
      </c>
      <c r="D98" s="2">
        <v>9.6000000000000014</v>
      </c>
      <c r="E98" s="2">
        <v>25.4</v>
      </c>
      <c r="F98" s="2">
        <v>20.099999999999998</v>
      </c>
      <c r="G98" s="2">
        <v>15.500000000000004</v>
      </c>
      <c r="H98" s="2">
        <v>12.8</v>
      </c>
      <c r="I98" s="2">
        <v>11.2</v>
      </c>
      <c r="J98" s="2">
        <v>8.1000000000000014</v>
      </c>
      <c r="K98" s="2">
        <v>20.2</v>
      </c>
      <c r="L98" s="2">
        <v>22.900000000000002</v>
      </c>
      <c r="M98" s="2">
        <v>0</v>
      </c>
      <c r="N98" s="2">
        <v>14.5</v>
      </c>
      <c r="O98" s="2">
        <v>2.2999999999999998</v>
      </c>
      <c r="P98" s="2">
        <v>18.700000000000003</v>
      </c>
      <c r="Q98" s="2">
        <v>6.9</v>
      </c>
      <c r="R98" s="2">
        <v>30.500000000000004</v>
      </c>
      <c r="S98" s="2">
        <v>0</v>
      </c>
      <c r="T98" s="2">
        <v>0</v>
      </c>
      <c r="U98" s="1">
        <f>COUNTIF(C98:T98,"&gt;"&amp;VLOOKUP(B98,MetaTable,3,FALSE))</f>
        <v>10</v>
      </c>
      <c r="V98">
        <v>220.1</v>
      </c>
      <c r="W98">
        <f t="shared" si="1"/>
        <v>14.673333333333334</v>
      </c>
    </row>
    <row r="99" spans="1:23" x14ac:dyDescent="0.45">
      <c r="A99" s="1" t="s">
        <v>103</v>
      </c>
      <c r="B99" s="1" t="s">
        <v>84</v>
      </c>
      <c r="C99" s="2">
        <v>17.899999999999999</v>
      </c>
      <c r="D99" s="2">
        <v>7.3000000000000007</v>
      </c>
      <c r="E99" s="2">
        <v>23.3</v>
      </c>
      <c r="F99" s="2">
        <v>15.900000000000002</v>
      </c>
      <c r="G99" s="2">
        <v>5.8000000000000007</v>
      </c>
      <c r="H99" s="2">
        <v>0</v>
      </c>
      <c r="I99" s="2">
        <v>19.100000000000001</v>
      </c>
      <c r="J99" s="2">
        <v>10.5</v>
      </c>
      <c r="K99" s="2">
        <v>10.200000000000001</v>
      </c>
      <c r="L99" s="2">
        <v>11.100000000000001</v>
      </c>
      <c r="M99" s="2">
        <v>4.8000000000000007</v>
      </c>
      <c r="N99" s="2">
        <v>18.400000000000002</v>
      </c>
      <c r="O99" s="2">
        <v>8.3000000000000007</v>
      </c>
      <c r="P99" s="2">
        <v>15.4</v>
      </c>
      <c r="Q99" s="2">
        <v>17.600000000000001</v>
      </c>
      <c r="R99" s="2">
        <v>10.799999999999999</v>
      </c>
      <c r="S99" s="2">
        <v>9.6999999999999993</v>
      </c>
      <c r="T99" s="2">
        <v>10</v>
      </c>
      <c r="U99" s="1">
        <f>COUNTIF(C99:T99,"&gt;"&amp;VLOOKUP(B99,MetaTable,3,FALSE))</f>
        <v>11</v>
      </c>
      <c r="V99">
        <v>216.1</v>
      </c>
      <c r="W99">
        <f t="shared" si="1"/>
        <v>12.711764705882352</v>
      </c>
    </row>
    <row r="100" spans="1:23" x14ac:dyDescent="0.45">
      <c r="A100" s="1" t="s">
        <v>104</v>
      </c>
      <c r="B100" s="1" t="s">
        <v>84</v>
      </c>
      <c r="C100" s="2">
        <v>15.8</v>
      </c>
      <c r="D100" s="2">
        <v>20.9</v>
      </c>
      <c r="E100" s="2">
        <v>16.3</v>
      </c>
      <c r="F100" s="2">
        <v>2.8</v>
      </c>
      <c r="G100" s="2">
        <v>5.2</v>
      </c>
      <c r="H100" s="2">
        <v>19.400000000000002</v>
      </c>
      <c r="I100" s="2">
        <v>23.1</v>
      </c>
      <c r="J100" s="2">
        <v>9.4</v>
      </c>
      <c r="K100" s="2">
        <v>9.5</v>
      </c>
      <c r="L100" s="2">
        <v>10.3</v>
      </c>
      <c r="M100" s="2">
        <v>27.6</v>
      </c>
      <c r="N100" s="2">
        <v>0</v>
      </c>
      <c r="O100" s="2">
        <v>6</v>
      </c>
      <c r="P100" s="2">
        <v>0</v>
      </c>
      <c r="Q100" s="2">
        <v>12.1</v>
      </c>
      <c r="R100" s="2">
        <v>11.5</v>
      </c>
      <c r="S100" s="2">
        <v>5.8</v>
      </c>
      <c r="T100" s="2">
        <v>16.7</v>
      </c>
      <c r="U100" s="1">
        <f>COUNTIF(C100:T100,"&gt;"&amp;VLOOKUP(B100,MetaTable,3,FALSE))</f>
        <v>10</v>
      </c>
      <c r="V100">
        <v>212.4</v>
      </c>
      <c r="W100">
        <f t="shared" si="1"/>
        <v>13.275</v>
      </c>
    </row>
    <row r="101" spans="1:23" x14ac:dyDescent="0.45">
      <c r="A101" s="1" t="s">
        <v>105</v>
      </c>
      <c r="B101" s="1" t="s">
        <v>84</v>
      </c>
      <c r="C101" s="2">
        <v>7.3000000000000007</v>
      </c>
      <c r="D101" s="2">
        <v>0</v>
      </c>
      <c r="E101" s="2">
        <v>0.9</v>
      </c>
      <c r="F101" s="2">
        <v>9</v>
      </c>
      <c r="G101" s="2">
        <v>25.400000000000002</v>
      </c>
      <c r="H101" s="2">
        <v>2.4000000000000004</v>
      </c>
      <c r="I101" s="2">
        <v>23.8</v>
      </c>
      <c r="J101" s="2">
        <v>9.6000000000000014</v>
      </c>
      <c r="K101" s="2">
        <v>2.2000000000000002</v>
      </c>
      <c r="L101" s="2">
        <v>0.4</v>
      </c>
      <c r="M101" s="2">
        <v>0</v>
      </c>
      <c r="N101" s="2">
        <v>0</v>
      </c>
      <c r="O101" s="2">
        <v>4</v>
      </c>
      <c r="P101" s="2">
        <v>12.7</v>
      </c>
      <c r="Q101" s="2">
        <v>4.2</v>
      </c>
      <c r="R101" s="2">
        <v>9.6</v>
      </c>
      <c r="S101" s="2">
        <v>3.3000000000000003</v>
      </c>
      <c r="T101" s="2">
        <v>10.700000000000001</v>
      </c>
      <c r="U101" s="1">
        <f>COUNTIF(C101:T101,"&gt;"&amp;VLOOKUP(B101,MetaTable,3,FALSE))</f>
        <v>4</v>
      </c>
      <c r="V101">
        <v>125.5</v>
      </c>
      <c r="W101">
        <f t="shared" si="1"/>
        <v>9.6538461538461533</v>
      </c>
    </row>
    <row r="102" spans="1:23" x14ac:dyDescent="0.45">
      <c r="A102" s="1" t="s">
        <v>106</v>
      </c>
      <c r="B102" s="1" t="s">
        <v>84</v>
      </c>
      <c r="C102" s="2">
        <v>0</v>
      </c>
      <c r="D102" s="2">
        <v>1.2000000000000002</v>
      </c>
      <c r="E102" s="2">
        <v>2.2999999999999998</v>
      </c>
      <c r="F102" s="2">
        <v>0</v>
      </c>
      <c r="G102" s="2">
        <v>12.6</v>
      </c>
      <c r="H102" s="2">
        <v>3.3000000000000007</v>
      </c>
      <c r="I102" s="2">
        <v>0</v>
      </c>
      <c r="J102" s="2">
        <v>1.6</v>
      </c>
      <c r="K102" s="2">
        <v>4.1000000000000005</v>
      </c>
      <c r="L102" s="2">
        <v>0</v>
      </c>
      <c r="M102" s="2">
        <v>9.1999999999999993</v>
      </c>
      <c r="N102" s="2">
        <v>15</v>
      </c>
      <c r="O102" s="2">
        <v>6.3000000000000007</v>
      </c>
      <c r="P102" s="2">
        <v>0.29999999999999993</v>
      </c>
      <c r="Q102" s="2">
        <v>16.100000000000001</v>
      </c>
      <c r="R102" s="2">
        <v>17</v>
      </c>
      <c r="S102" s="2">
        <v>16.2</v>
      </c>
      <c r="T102" s="2">
        <v>0</v>
      </c>
      <c r="U102" s="1">
        <f>COUNTIF(C102:T102,"&gt;"&amp;VLOOKUP(B102,MetaTable,3,FALSE))</f>
        <v>5</v>
      </c>
      <c r="V102">
        <v>105.2</v>
      </c>
      <c r="W102">
        <f t="shared" si="1"/>
        <v>8.7666666666666675</v>
      </c>
    </row>
    <row r="103" spans="1:23" x14ac:dyDescent="0.45">
      <c r="A103" s="1" t="s">
        <v>107</v>
      </c>
      <c r="B103" s="1" t="s">
        <v>84</v>
      </c>
      <c r="C103" s="2">
        <v>15.799999999999999</v>
      </c>
      <c r="D103" s="2">
        <v>15</v>
      </c>
      <c r="E103" s="2">
        <v>19.7</v>
      </c>
      <c r="F103" s="2">
        <v>14.5</v>
      </c>
      <c r="G103" s="2">
        <v>0</v>
      </c>
      <c r="H103" s="2">
        <v>20.5</v>
      </c>
      <c r="I103" s="2">
        <v>6.5</v>
      </c>
      <c r="J103" s="2">
        <v>14.42</v>
      </c>
      <c r="K103" s="2">
        <v>11.100000000000001</v>
      </c>
      <c r="L103" s="2">
        <v>12.1</v>
      </c>
      <c r="M103" s="2">
        <v>23</v>
      </c>
      <c r="N103" s="2">
        <v>14.799999999999999</v>
      </c>
      <c r="O103" s="2">
        <v>13.9</v>
      </c>
      <c r="P103" s="2">
        <v>16.900000000000002</v>
      </c>
      <c r="Q103" s="2">
        <v>5.5</v>
      </c>
      <c r="R103" s="2">
        <v>0</v>
      </c>
      <c r="S103" s="2">
        <v>0</v>
      </c>
      <c r="T103" s="2">
        <v>0</v>
      </c>
      <c r="U103" s="1">
        <f>COUNTIF(C103:T103,"&gt;"&amp;VLOOKUP(B103,MetaTable,3,FALSE))</f>
        <v>12</v>
      </c>
      <c r="V103">
        <v>203.72</v>
      </c>
      <c r="W103">
        <f t="shared" si="1"/>
        <v>14.551428571428572</v>
      </c>
    </row>
    <row r="104" spans="1:23" x14ac:dyDescent="0.45">
      <c r="A104" s="1" t="s">
        <v>108</v>
      </c>
      <c r="B104" s="1" t="s">
        <v>84</v>
      </c>
      <c r="C104" s="2">
        <v>5</v>
      </c>
      <c r="D104" s="2">
        <v>6.2</v>
      </c>
      <c r="E104" s="2">
        <v>5.2</v>
      </c>
      <c r="F104" s="2">
        <v>26</v>
      </c>
      <c r="G104" s="2">
        <v>19</v>
      </c>
      <c r="H104" s="2">
        <v>19.900000000000002</v>
      </c>
      <c r="I104" s="2">
        <v>0</v>
      </c>
      <c r="J104" s="2">
        <v>18.899999999999999</v>
      </c>
      <c r="K104" s="2">
        <v>11.200000000000001</v>
      </c>
      <c r="L104" s="2">
        <v>7</v>
      </c>
      <c r="M104" s="2">
        <v>15.400000000000002</v>
      </c>
      <c r="N104" s="2">
        <v>8</v>
      </c>
      <c r="O104" s="2">
        <v>8.4</v>
      </c>
      <c r="P104" s="2">
        <v>4.5000000000000009</v>
      </c>
      <c r="Q104" s="2">
        <v>9.4</v>
      </c>
      <c r="R104" s="2">
        <v>6.8000000000000007</v>
      </c>
      <c r="S104" s="2">
        <v>10.100000000000001</v>
      </c>
      <c r="T104" s="2">
        <v>12.5</v>
      </c>
      <c r="U104" s="1">
        <f>COUNTIF(C104:T104,"&gt;"&amp;VLOOKUP(B104,MetaTable,3,FALSE))</f>
        <v>8</v>
      </c>
      <c r="V104">
        <v>193.5</v>
      </c>
      <c r="W104">
        <f t="shared" si="1"/>
        <v>11.382352941176471</v>
      </c>
    </row>
    <row r="105" spans="1:23" x14ac:dyDescent="0.45">
      <c r="A105" s="1" t="s">
        <v>109</v>
      </c>
      <c r="B105" s="1" t="s">
        <v>84</v>
      </c>
      <c r="C105" s="2">
        <v>16.900000000000002</v>
      </c>
      <c r="D105" s="2">
        <v>12.7</v>
      </c>
      <c r="E105" s="2">
        <v>4.4000000000000004</v>
      </c>
      <c r="F105" s="2">
        <v>17.8</v>
      </c>
      <c r="G105" s="2">
        <v>0</v>
      </c>
      <c r="H105" s="2">
        <v>16.3</v>
      </c>
      <c r="I105" s="2">
        <v>7.5000000000000009</v>
      </c>
      <c r="J105" s="2">
        <v>13.200000000000001</v>
      </c>
      <c r="K105" s="2">
        <v>16.900000000000002</v>
      </c>
      <c r="L105" s="2">
        <v>8.3000000000000007</v>
      </c>
      <c r="M105" s="2">
        <v>3.9000000000000004</v>
      </c>
      <c r="N105" s="2">
        <v>20.399999999999999</v>
      </c>
      <c r="O105" s="2">
        <v>6.8000000000000007</v>
      </c>
      <c r="P105" s="2">
        <v>13.400000000000002</v>
      </c>
      <c r="Q105" s="2">
        <v>8.5</v>
      </c>
      <c r="R105" s="2">
        <v>7</v>
      </c>
      <c r="S105" s="2">
        <v>0</v>
      </c>
      <c r="T105" s="2">
        <v>6.2</v>
      </c>
      <c r="U105" s="1">
        <f>COUNTIF(C105:T105,"&gt;"&amp;VLOOKUP(B105,MetaTable,3,FALSE))</f>
        <v>8</v>
      </c>
      <c r="V105">
        <v>180.2</v>
      </c>
      <c r="W105">
        <f t="shared" si="1"/>
        <v>11.262499999999999</v>
      </c>
    </row>
    <row r="106" spans="1:23" x14ac:dyDescent="0.45">
      <c r="A106" s="1" t="s">
        <v>110</v>
      </c>
      <c r="B106" s="1" t="s">
        <v>84</v>
      </c>
      <c r="C106" s="2">
        <v>21.4</v>
      </c>
      <c r="D106" s="2">
        <v>19.600000000000001</v>
      </c>
      <c r="E106" s="2">
        <v>6.9</v>
      </c>
      <c r="F106" s="2">
        <v>7.7</v>
      </c>
      <c r="G106" s="2">
        <v>0</v>
      </c>
      <c r="H106" s="2">
        <v>17.200000000000003</v>
      </c>
      <c r="I106" s="2">
        <v>8.1</v>
      </c>
      <c r="J106" s="2">
        <v>14.799999999999999</v>
      </c>
      <c r="K106" s="2">
        <v>23.5</v>
      </c>
      <c r="L106" s="2">
        <v>7</v>
      </c>
      <c r="M106" s="2">
        <v>18.400000000000002</v>
      </c>
      <c r="N106" s="2">
        <v>7.4</v>
      </c>
      <c r="O106" s="2">
        <v>0</v>
      </c>
      <c r="P106" s="2">
        <v>0</v>
      </c>
      <c r="Q106" s="2">
        <v>0</v>
      </c>
      <c r="R106" s="2">
        <v>0</v>
      </c>
      <c r="S106" s="2">
        <v>14.8</v>
      </c>
      <c r="T106" s="2">
        <v>9</v>
      </c>
      <c r="U106" s="1">
        <f>COUNTIF(C106:T106,"&gt;"&amp;VLOOKUP(B106,MetaTable,3,FALSE))</f>
        <v>7</v>
      </c>
      <c r="V106">
        <v>175.8</v>
      </c>
      <c r="W106">
        <f t="shared" si="1"/>
        <v>13.523076923076925</v>
      </c>
    </row>
    <row r="107" spans="1:23" x14ac:dyDescent="0.45">
      <c r="A107" s="1" t="s">
        <v>111</v>
      </c>
      <c r="B107" s="1" t="s">
        <v>84</v>
      </c>
      <c r="C107" s="2">
        <v>20.100000000000001</v>
      </c>
      <c r="D107" s="2">
        <v>16</v>
      </c>
      <c r="E107" s="2">
        <v>0.30000000000000027</v>
      </c>
      <c r="F107" s="2">
        <v>6.1999999999999993</v>
      </c>
      <c r="G107" s="2">
        <v>17.2</v>
      </c>
      <c r="H107" s="2">
        <v>0</v>
      </c>
      <c r="I107" s="2">
        <v>3.5</v>
      </c>
      <c r="J107" s="2">
        <v>22</v>
      </c>
      <c r="K107" s="2">
        <v>19.899999999999999</v>
      </c>
      <c r="L107" s="2">
        <v>8.2000000000000011</v>
      </c>
      <c r="M107" s="2">
        <v>10.9</v>
      </c>
      <c r="N107" s="2">
        <v>3.3</v>
      </c>
      <c r="O107" s="2">
        <v>10.9</v>
      </c>
      <c r="P107" s="2">
        <v>0</v>
      </c>
      <c r="Q107" s="2">
        <v>9</v>
      </c>
      <c r="R107" s="2">
        <v>11.8</v>
      </c>
      <c r="S107" s="2">
        <v>0.1</v>
      </c>
      <c r="T107" s="2">
        <v>0</v>
      </c>
      <c r="U107" s="1">
        <f>COUNTIF(C107:T107,"&gt;"&amp;VLOOKUP(B107,MetaTable,3,FALSE))</f>
        <v>8</v>
      </c>
      <c r="V107">
        <v>159.4</v>
      </c>
      <c r="W107">
        <f t="shared" si="1"/>
        <v>12.261538461538462</v>
      </c>
    </row>
    <row r="108" spans="1:23" x14ac:dyDescent="0.45">
      <c r="A108" s="1" t="s">
        <v>112</v>
      </c>
      <c r="B108" s="1" t="s">
        <v>84</v>
      </c>
      <c r="C108" s="2">
        <v>15.9</v>
      </c>
      <c r="D108" s="2">
        <v>6.9</v>
      </c>
      <c r="E108" s="2">
        <v>8.5</v>
      </c>
      <c r="F108" s="2">
        <v>12</v>
      </c>
      <c r="G108" s="2">
        <v>6.4</v>
      </c>
      <c r="H108" s="2">
        <v>1.4000000000000001</v>
      </c>
      <c r="I108" s="2">
        <v>0</v>
      </c>
      <c r="J108" s="2">
        <v>0</v>
      </c>
      <c r="K108" s="2">
        <v>1.2</v>
      </c>
      <c r="L108" s="2">
        <v>0</v>
      </c>
      <c r="M108" s="2">
        <v>5.9</v>
      </c>
      <c r="N108" s="2">
        <v>3.2</v>
      </c>
      <c r="O108" s="2">
        <v>6.7000000000000011</v>
      </c>
      <c r="P108" s="2">
        <v>6.2000000000000011</v>
      </c>
      <c r="Q108" s="2">
        <v>17.399999999999999</v>
      </c>
      <c r="R108" s="2">
        <v>21.6</v>
      </c>
      <c r="S108" s="2">
        <v>2.2000000000000002</v>
      </c>
      <c r="T108" s="2">
        <v>0</v>
      </c>
      <c r="U108" s="1">
        <f>COUNTIF(C108:T108,"&gt;"&amp;VLOOKUP(B108,MetaTable,3,FALSE))</f>
        <v>4</v>
      </c>
      <c r="V108">
        <v>115.5</v>
      </c>
      <c r="W108">
        <f t="shared" si="1"/>
        <v>8.25</v>
      </c>
    </row>
    <row r="109" spans="1:23" x14ac:dyDescent="0.45">
      <c r="A109" s="1" t="s">
        <v>113</v>
      </c>
      <c r="B109" s="1" t="s">
        <v>84</v>
      </c>
      <c r="C109" s="2">
        <v>2.1</v>
      </c>
      <c r="D109" s="2">
        <v>7.0000000000000009</v>
      </c>
      <c r="E109" s="2">
        <v>3.2</v>
      </c>
      <c r="F109" s="2">
        <v>9</v>
      </c>
      <c r="G109" s="2">
        <v>4</v>
      </c>
      <c r="H109" s="2">
        <v>19.3</v>
      </c>
      <c r="I109" s="2">
        <v>5</v>
      </c>
      <c r="J109" s="2">
        <v>3.3000000000000003</v>
      </c>
      <c r="K109" s="2">
        <v>7.8</v>
      </c>
      <c r="L109" s="2">
        <v>5.9</v>
      </c>
      <c r="M109" s="2">
        <v>0.4</v>
      </c>
      <c r="N109" s="2">
        <v>0</v>
      </c>
      <c r="O109" s="2">
        <v>2.7</v>
      </c>
      <c r="P109" s="2">
        <v>12.3</v>
      </c>
      <c r="Q109" s="2">
        <v>4.3</v>
      </c>
      <c r="R109" s="2">
        <v>3.6</v>
      </c>
      <c r="S109" s="2">
        <v>1.9000000000000001</v>
      </c>
      <c r="T109" s="2">
        <v>7.9</v>
      </c>
      <c r="U109" s="1">
        <f>COUNTIF(C109:T109,"&gt;"&amp;VLOOKUP(B109,MetaTable,3,FALSE))</f>
        <v>2</v>
      </c>
      <c r="V109">
        <v>99.7</v>
      </c>
      <c r="W109">
        <f t="shared" si="1"/>
        <v>6.2312500000000002</v>
      </c>
    </row>
    <row r="110" spans="1:23" x14ac:dyDescent="0.45">
      <c r="A110" s="1" t="s">
        <v>114</v>
      </c>
      <c r="B110" s="1" t="s">
        <v>84</v>
      </c>
      <c r="C110" s="2">
        <v>5.1999999999999993</v>
      </c>
      <c r="D110" s="2">
        <v>4.0999999999999996</v>
      </c>
      <c r="E110" s="2">
        <v>8.1000000000000014</v>
      </c>
      <c r="F110" s="2">
        <v>10.9</v>
      </c>
      <c r="G110" s="2">
        <v>0</v>
      </c>
      <c r="H110" s="2">
        <v>2.7</v>
      </c>
      <c r="I110" s="2">
        <v>0</v>
      </c>
      <c r="J110" s="2">
        <v>0</v>
      </c>
      <c r="K110" s="2">
        <v>0</v>
      </c>
      <c r="L110" s="2">
        <v>6.6000000000000005</v>
      </c>
      <c r="M110" s="2">
        <v>1.8</v>
      </c>
      <c r="N110" s="2">
        <v>0</v>
      </c>
      <c r="O110" s="2">
        <v>0.30000000000000004</v>
      </c>
      <c r="P110" s="2">
        <v>2.8000000000000003</v>
      </c>
      <c r="Q110" s="2">
        <v>24.200000000000003</v>
      </c>
      <c r="R110" s="2">
        <v>20.100000000000001</v>
      </c>
      <c r="S110" s="2">
        <v>11.8</v>
      </c>
      <c r="T110" s="2">
        <v>0</v>
      </c>
      <c r="U110" s="1">
        <f>COUNTIF(C110:T110,"&gt;"&amp;VLOOKUP(B110,MetaTable,3,FALSE))</f>
        <v>4</v>
      </c>
      <c r="V110">
        <v>98.6</v>
      </c>
      <c r="W110">
        <f t="shared" si="1"/>
        <v>8.963636363636363</v>
      </c>
    </row>
    <row r="111" spans="1:23" x14ac:dyDescent="0.45">
      <c r="A111" s="1" t="s">
        <v>115</v>
      </c>
      <c r="B111" s="1" t="s">
        <v>84</v>
      </c>
      <c r="C111" s="2">
        <v>17.900000000000002</v>
      </c>
      <c r="D111" s="2">
        <v>0</v>
      </c>
      <c r="E111" s="2">
        <v>0</v>
      </c>
      <c r="F111" s="2">
        <v>31.6</v>
      </c>
      <c r="G111" s="2">
        <v>11.100000000000001</v>
      </c>
      <c r="H111" s="2">
        <v>16.899999999999999</v>
      </c>
      <c r="I111" s="2">
        <v>22.3</v>
      </c>
      <c r="J111" s="2">
        <v>6.5</v>
      </c>
      <c r="K111" s="2">
        <v>12.200000000000001</v>
      </c>
      <c r="L111" s="2">
        <v>0</v>
      </c>
      <c r="M111" s="2">
        <v>12.9</v>
      </c>
      <c r="N111" s="2">
        <v>11.3</v>
      </c>
      <c r="O111" s="2">
        <v>5.6000000000000005</v>
      </c>
      <c r="P111" s="2">
        <v>0</v>
      </c>
      <c r="Q111" s="2">
        <v>0</v>
      </c>
      <c r="R111" s="2">
        <v>9.9</v>
      </c>
      <c r="S111" s="2">
        <v>0</v>
      </c>
      <c r="T111" s="2">
        <v>0</v>
      </c>
      <c r="U111" s="1">
        <f>COUNTIF(C111:T111,"&gt;"&amp;VLOOKUP(B111,MetaTable,3,FALSE))</f>
        <v>8</v>
      </c>
      <c r="V111">
        <v>158.19999999999999</v>
      </c>
      <c r="W111">
        <f t="shared" si="1"/>
        <v>14.381818181818181</v>
      </c>
    </row>
    <row r="112" spans="1:23" x14ac:dyDescent="0.45">
      <c r="A112" s="1" t="s">
        <v>116</v>
      </c>
      <c r="B112" s="1" t="s">
        <v>84</v>
      </c>
      <c r="C112" s="2">
        <v>21.700000000000003</v>
      </c>
      <c r="D112" s="2">
        <v>16.899999999999999</v>
      </c>
      <c r="E112" s="2">
        <v>9.7999999999999989</v>
      </c>
      <c r="F112" s="2">
        <v>23</v>
      </c>
      <c r="G112" s="2">
        <v>8.3000000000000007</v>
      </c>
      <c r="H112" s="2">
        <v>8.7000000000000011</v>
      </c>
      <c r="I112" s="2">
        <v>7.9</v>
      </c>
      <c r="J112" s="2">
        <v>1.8</v>
      </c>
      <c r="K112" s="2">
        <v>0</v>
      </c>
      <c r="L112" s="2">
        <v>0.5</v>
      </c>
      <c r="M112" s="2">
        <v>1.3</v>
      </c>
      <c r="N112" s="2">
        <v>1.8</v>
      </c>
      <c r="O112" s="2">
        <v>7.8000000000000007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1">
        <f>COUNTIF(C112:T112,"&gt;"&amp;VLOOKUP(B112,MetaTable,3,FALSE))</f>
        <v>3</v>
      </c>
      <c r="V112">
        <v>109.5</v>
      </c>
      <c r="W112">
        <f t="shared" si="1"/>
        <v>9.954545454545455</v>
      </c>
    </row>
    <row r="113" spans="1:23" x14ac:dyDescent="0.45">
      <c r="A113" s="1" t="s">
        <v>117</v>
      </c>
      <c r="B113" s="1" t="s">
        <v>84</v>
      </c>
      <c r="C113" s="2">
        <v>8.4</v>
      </c>
      <c r="D113" s="2">
        <v>7.9</v>
      </c>
      <c r="E113" s="2">
        <v>11.1</v>
      </c>
      <c r="F113" s="2">
        <v>8.8000000000000007</v>
      </c>
      <c r="G113" s="2">
        <v>8.6999999999999993</v>
      </c>
      <c r="H113" s="2">
        <v>19.200000000000003</v>
      </c>
      <c r="I113" s="2">
        <v>16.200000000000003</v>
      </c>
      <c r="J113" s="2">
        <v>14.600000000000001</v>
      </c>
      <c r="K113" s="2">
        <v>0</v>
      </c>
      <c r="L113" s="2">
        <v>11.3</v>
      </c>
      <c r="M113" s="2">
        <v>11.3</v>
      </c>
      <c r="N113" s="2">
        <v>6.4</v>
      </c>
      <c r="O113" s="2">
        <v>21.9</v>
      </c>
      <c r="P113" s="2">
        <v>11.3</v>
      </c>
      <c r="Q113" s="2">
        <v>2.6</v>
      </c>
      <c r="R113" s="2">
        <v>4.2</v>
      </c>
      <c r="S113" s="2">
        <v>9.1</v>
      </c>
      <c r="T113" s="2">
        <v>13.6</v>
      </c>
      <c r="U113" s="1">
        <f>COUNTIF(C113:T113,"&gt;"&amp;VLOOKUP(B113,MetaTable,3,FALSE))</f>
        <v>9</v>
      </c>
      <c r="V113">
        <v>186.6</v>
      </c>
      <c r="W113">
        <f t="shared" si="1"/>
        <v>10.976470588235294</v>
      </c>
    </row>
    <row r="114" spans="1:23" x14ac:dyDescent="0.45">
      <c r="A114" s="1" t="s">
        <v>118</v>
      </c>
      <c r="B114" s="1" t="s">
        <v>84</v>
      </c>
      <c r="C114" s="2">
        <v>1.2</v>
      </c>
      <c r="D114" s="2">
        <v>0.2</v>
      </c>
      <c r="E114" s="2">
        <v>5</v>
      </c>
      <c r="F114" s="2">
        <v>2.6</v>
      </c>
      <c r="G114" s="2">
        <v>13.5</v>
      </c>
      <c r="H114" s="2">
        <v>19.7</v>
      </c>
      <c r="I114" s="2">
        <v>4.7</v>
      </c>
      <c r="J114" s="2">
        <v>22</v>
      </c>
      <c r="K114" s="2">
        <v>7.4</v>
      </c>
      <c r="L114" s="2">
        <v>14.900000000000002</v>
      </c>
      <c r="M114" s="2">
        <v>0</v>
      </c>
      <c r="N114" s="2">
        <v>7</v>
      </c>
      <c r="O114" s="2">
        <v>13.5</v>
      </c>
      <c r="P114" s="2">
        <v>16.8</v>
      </c>
      <c r="Q114" s="2">
        <v>4</v>
      </c>
      <c r="R114" s="2">
        <v>14.899999999999999</v>
      </c>
      <c r="S114" s="2">
        <v>8.3000000000000007</v>
      </c>
      <c r="T114" s="2">
        <v>7.6000000000000005</v>
      </c>
      <c r="U114" s="1">
        <f>COUNTIF(C114:T114,"&gt;"&amp;VLOOKUP(B114,MetaTable,3,FALSE))</f>
        <v>7</v>
      </c>
      <c r="V114">
        <v>163.30000000000001</v>
      </c>
      <c r="W114">
        <f t="shared" si="1"/>
        <v>10.206250000000001</v>
      </c>
    </row>
    <row r="115" spans="1:23" x14ac:dyDescent="0.45">
      <c r="A115" s="1" t="s">
        <v>119</v>
      </c>
      <c r="B115" s="1" t="s">
        <v>84</v>
      </c>
      <c r="C115" s="2">
        <v>16.399999999999999</v>
      </c>
      <c r="D115" s="2">
        <v>14.100000000000001</v>
      </c>
      <c r="E115" s="2">
        <v>10.200000000000001</v>
      </c>
      <c r="F115" s="2">
        <v>18.8</v>
      </c>
      <c r="G115" s="2">
        <v>13.8</v>
      </c>
      <c r="H115" s="2">
        <v>0</v>
      </c>
      <c r="I115" s="2">
        <v>13.100000000000001</v>
      </c>
      <c r="J115" s="2">
        <v>8.1</v>
      </c>
      <c r="K115" s="2">
        <v>0</v>
      </c>
      <c r="L115" s="2">
        <v>0</v>
      </c>
      <c r="M115" s="2">
        <v>13.700000000000001</v>
      </c>
      <c r="N115" s="2">
        <v>2.9000000000000004</v>
      </c>
      <c r="O115" s="2">
        <v>17.400000000000002</v>
      </c>
      <c r="P115" s="2">
        <v>0</v>
      </c>
      <c r="Q115" s="2">
        <v>10.199999999999999</v>
      </c>
      <c r="R115" s="2">
        <v>1.1000000000000005</v>
      </c>
      <c r="S115" s="2">
        <v>7.9</v>
      </c>
      <c r="T115" s="2">
        <v>2.1</v>
      </c>
      <c r="U115" s="1">
        <f>COUNTIF(C115:T115,"&gt;"&amp;VLOOKUP(B115,MetaTable,3,FALSE))</f>
        <v>9</v>
      </c>
      <c r="V115">
        <v>149.80000000000001</v>
      </c>
      <c r="W115">
        <f t="shared" si="1"/>
        <v>10.700000000000001</v>
      </c>
    </row>
    <row r="116" spans="1:23" x14ac:dyDescent="0.45">
      <c r="A116" s="1" t="s">
        <v>120</v>
      </c>
      <c r="B116" s="1" t="s">
        <v>84</v>
      </c>
      <c r="C116" s="2">
        <v>0</v>
      </c>
      <c r="D116" s="2">
        <v>0</v>
      </c>
      <c r="E116" s="2">
        <v>0</v>
      </c>
      <c r="F116" s="2">
        <v>9.5</v>
      </c>
      <c r="G116" s="2">
        <v>18.200000000000003</v>
      </c>
      <c r="H116" s="2">
        <v>0</v>
      </c>
      <c r="I116" s="2">
        <v>21.3</v>
      </c>
      <c r="J116" s="2">
        <v>12.8</v>
      </c>
      <c r="K116" s="2">
        <v>18.200000000000003</v>
      </c>
      <c r="L116" s="2">
        <v>13.5</v>
      </c>
      <c r="M116" s="2">
        <v>6</v>
      </c>
      <c r="N116" s="2">
        <v>10.200000000000001</v>
      </c>
      <c r="O116" s="2">
        <v>2.5</v>
      </c>
      <c r="P116" s="2">
        <v>3.4000000000000004</v>
      </c>
      <c r="Q116" s="2">
        <v>5.4</v>
      </c>
      <c r="R116" s="2">
        <v>14.9</v>
      </c>
      <c r="S116" s="2">
        <v>8</v>
      </c>
      <c r="T116" s="2">
        <v>0</v>
      </c>
      <c r="U116" s="1">
        <f>COUNTIF(C116:T116,"&gt;"&amp;VLOOKUP(B116,MetaTable,3,FALSE))</f>
        <v>7</v>
      </c>
      <c r="V116">
        <v>143.9</v>
      </c>
      <c r="W116">
        <f t="shared" si="1"/>
        <v>11.069230769230769</v>
      </c>
    </row>
    <row r="117" spans="1:23" x14ac:dyDescent="0.45">
      <c r="A117" s="1" t="s">
        <v>121</v>
      </c>
      <c r="B117" s="1" t="s">
        <v>84</v>
      </c>
      <c r="C117" s="2">
        <v>13.100000000000001</v>
      </c>
      <c r="D117" s="2">
        <v>5.2</v>
      </c>
      <c r="E117" s="2">
        <v>18.200000000000003</v>
      </c>
      <c r="F117" s="2">
        <v>15.8</v>
      </c>
      <c r="G117" s="2">
        <v>6.7000000000000011</v>
      </c>
      <c r="H117" s="2">
        <v>0</v>
      </c>
      <c r="I117" s="2">
        <v>5.5</v>
      </c>
      <c r="J117" s="2">
        <v>5.9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1">
        <f>COUNTIF(C117:T117,"&gt;"&amp;VLOOKUP(B117,MetaTable,3,FALSE))</f>
        <v>3</v>
      </c>
      <c r="V117">
        <v>70.400000000000006</v>
      </c>
      <c r="W117">
        <f t="shared" si="1"/>
        <v>10.057142857142859</v>
      </c>
    </row>
    <row r="118" spans="1:23" x14ac:dyDescent="0.45">
      <c r="A118" s="1" t="s">
        <v>122</v>
      </c>
      <c r="B118" s="1" t="s">
        <v>84</v>
      </c>
      <c r="C118" s="2">
        <v>3.3000000000000003</v>
      </c>
      <c r="D118" s="2">
        <v>5.9</v>
      </c>
      <c r="E118" s="2">
        <v>0.9</v>
      </c>
      <c r="F118" s="2">
        <v>1.9000000000000001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5.5</v>
      </c>
      <c r="M118" s="2">
        <v>2.7</v>
      </c>
      <c r="N118" s="2">
        <v>7.1</v>
      </c>
      <c r="O118" s="2">
        <v>3.8000000000000003</v>
      </c>
      <c r="P118" s="2">
        <v>9.6</v>
      </c>
      <c r="Q118" s="2">
        <v>2.3000000000000003</v>
      </c>
      <c r="R118" s="2">
        <v>19.600000000000001</v>
      </c>
      <c r="S118" s="2">
        <v>0</v>
      </c>
      <c r="T118" s="2">
        <v>0</v>
      </c>
      <c r="U118" s="1">
        <f>COUNTIF(C118:T118,"&gt;"&amp;VLOOKUP(B118,MetaTable,3,FALSE))</f>
        <v>1</v>
      </c>
      <c r="V118">
        <v>62.6</v>
      </c>
      <c r="W118">
        <f t="shared" si="1"/>
        <v>6.26</v>
      </c>
    </row>
    <row r="119" spans="1:23" x14ac:dyDescent="0.45">
      <c r="A119" s="1" t="s">
        <v>123</v>
      </c>
      <c r="B119" s="1" t="s">
        <v>84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9.6999999999999993</v>
      </c>
      <c r="J119" s="2">
        <v>5.2</v>
      </c>
      <c r="K119" s="2">
        <v>4</v>
      </c>
      <c r="L119" s="2">
        <v>0</v>
      </c>
      <c r="M119" s="2">
        <v>5</v>
      </c>
      <c r="N119" s="2">
        <v>18.5</v>
      </c>
      <c r="O119" s="2">
        <v>11.5</v>
      </c>
      <c r="P119" s="2">
        <v>4.8000000000000007</v>
      </c>
      <c r="Q119" s="2">
        <v>2.1000000000000005</v>
      </c>
      <c r="R119" s="2">
        <v>0</v>
      </c>
      <c r="S119" s="2">
        <v>0</v>
      </c>
      <c r="T119" s="2">
        <v>0</v>
      </c>
      <c r="U119" s="1">
        <f>COUNTIF(C119:T119,"&gt;"&amp;VLOOKUP(B119,MetaTable,3,FALSE))</f>
        <v>2</v>
      </c>
      <c r="V119">
        <v>60.8</v>
      </c>
      <c r="W119">
        <f t="shared" si="1"/>
        <v>7.6</v>
      </c>
    </row>
    <row r="120" spans="1:23" x14ac:dyDescent="0.45">
      <c r="A120" s="1" t="s">
        <v>124</v>
      </c>
      <c r="B120" s="1" t="s">
        <v>84</v>
      </c>
      <c r="C120" s="2">
        <v>1.7</v>
      </c>
      <c r="D120" s="2">
        <v>0.60000000000000009</v>
      </c>
      <c r="E120" s="2">
        <v>2.2000000000000002</v>
      </c>
      <c r="F120" s="2">
        <v>0.9</v>
      </c>
      <c r="G120" s="2">
        <v>0</v>
      </c>
      <c r="H120" s="2">
        <v>2.3000000000000003</v>
      </c>
      <c r="I120" s="2">
        <v>7.2000000000000011</v>
      </c>
      <c r="J120" s="2">
        <v>1.9000000000000001</v>
      </c>
      <c r="K120" s="2">
        <v>1.5</v>
      </c>
      <c r="L120" s="2">
        <v>4.4000000000000004</v>
      </c>
      <c r="M120" s="2">
        <v>5.4</v>
      </c>
      <c r="N120" s="2">
        <v>8.1999999999999993</v>
      </c>
      <c r="O120" s="2">
        <v>0</v>
      </c>
      <c r="P120" s="2">
        <v>4.3</v>
      </c>
      <c r="Q120" s="2">
        <v>7.5</v>
      </c>
      <c r="R120" s="2">
        <v>1.8000000000000003</v>
      </c>
      <c r="S120" s="2">
        <v>1.4</v>
      </c>
      <c r="T120" s="2">
        <v>3.3000000000000003</v>
      </c>
      <c r="U120" s="1">
        <f>COUNTIF(C120:T120,"&gt;"&amp;VLOOKUP(B120,MetaTable,3,FALSE))</f>
        <v>0</v>
      </c>
      <c r="V120">
        <v>54.6</v>
      </c>
      <c r="W120">
        <f t="shared" si="1"/>
        <v>3.9</v>
      </c>
    </row>
    <row r="121" spans="1:23" x14ac:dyDescent="0.45">
      <c r="A121" s="1" t="s">
        <v>125</v>
      </c>
      <c r="B121" s="1" t="s">
        <v>84</v>
      </c>
      <c r="C121" s="2">
        <v>14.8</v>
      </c>
      <c r="D121" s="2">
        <v>13.6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5.4</v>
      </c>
      <c r="P121" s="2">
        <v>7.1</v>
      </c>
      <c r="Q121" s="2">
        <v>5.2</v>
      </c>
      <c r="R121" s="2">
        <v>3</v>
      </c>
      <c r="S121" s="2">
        <v>1.8</v>
      </c>
      <c r="T121" s="2">
        <v>0</v>
      </c>
      <c r="U121" s="1">
        <f>COUNTIF(C121:T121,"&gt;"&amp;VLOOKUP(B121,MetaTable,3,FALSE))</f>
        <v>2</v>
      </c>
      <c r="V121">
        <v>50.9</v>
      </c>
      <c r="W121">
        <f t="shared" si="1"/>
        <v>7.2714285714285714</v>
      </c>
    </row>
    <row r="122" spans="1:23" x14ac:dyDescent="0.45">
      <c r="A122" s="1" t="s">
        <v>126</v>
      </c>
      <c r="B122" s="1" t="s">
        <v>84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7.3</v>
      </c>
      <c r="S122" s="2">
        <v>9.1</v>
      </c>
      <c r="T122" s="2">
        <v>13.9</v>
      </c>
      <c r="U122" s="1">
        <f>COUNTIF(C122:T122,"&gt;"&amp;VLOOKUP(B122,MetaTable,3,FALSE))</f>
        <v>1</v>
      </c>
      <c r="V122">
        <v>30.3</v>
      </c>
      <c r="W122">
        <f t="shared" si="1"/>
        <v>10.1</v>
      </c>
    </row>
    <row r="123" spans="1:23" x14ac:dyDescent="0.45">
      <c r="A123" s="1" t="s">
        <v>127</v>
      </c>
      <c r="B123" s="1" t="s">
        <v>84</v>
      </c>
      <c r="C123" s="2">
        <v>2.8000000000000003</v>
      </c>
      <c r="D123" s="2">
        <v>9</v>
      </c>
      <c r="E123" s="2">
        <v>4.1000000000000005</v>
      </c>
      <c r="F123" s="2">
        <v>9</v>
      </c>
      <c r="G123" s="2">
        <v>13.600000000000001</v>
      </c>
      <c r="H123" s="2">
        <v>3.1000000000000005</v>
      </c>
      <c r="I123" s="2">
        <v>24.6</v>
      </c>
      <c r="J123" s="2">
        <v>7.2</v>
      </c>
      <c r="K123" s="2">
        <v>9.4</v>
      </c>
      <c r="L123" s="2">
        <v>1.7000000000000002</v>
      </c>
      <c r="M123" s="2">
        <v>16.7</v>
      </c>
      <c r="N123" s="2">
        <v>1.4000000000000001</v>
      </c>
      <c r="O123" s="2">
        <v>6.8999999999999995</v>
      </c>
      <c r="P123" s="2">
        <v>0</v>
      </c>
      <c r="Q123" s="2">
        <v>3.3</v>
      </c>
      <c r="R123" s="2">
        <v>8.8000000000000007</v>
      </c>
      <c r="S123" s="2">
        <v>1</v>
      </c>
      <c r="T123" s="2">
        <v>9.3000000000000007</v>
      </c>
      <c r="U123" s="1">
        <f>COUNTIF(C123:T123,"&gt;"&amp;VLOOKUP(B123,MetaTable,3,FALSE))</f>
        <v>3</v>
      </c>
      <c r="V123">
        <v>131.9</v>
      </c>
      <c r="W123">
        <f t="shared" si="1"/>
        <v>8.2437500000000004</v>
      </c>
    </row>
    <row r="124" spans="1:23" x14ac:dyDescent="0.45">
      <c r="A124" s="1" t="s">
        <v>128</v>
      </c>
      <c r="B124" s="1" t="s">
        <v>84</v>
      </c>
      <c r="C124" s="2">
        <v>8.1999999999999993</v>
      </c>
      <c r="D124" s="2">
        <v>10</v>
      </c>
      <c r="E124" s="2">
        <v>12.7</v>
      </c>
      <c r="F124" s="2">
        <v>0</v>
      </c>
      <c r="G124" s="2">
        <v>10.7</v>
      </c>
      <c r="H124" s="2">
        <v>8.8000000000000007</v>
      </c>
      <c r="I124" s="2">
        <v>3</v>
      </c>
      <c r="J124" s="2">
        <v>6.8000000000000007</v>
      </c>
      <c r="K124" s="2">
        <v>15.8</v>
      </c>
      <c r="L124" s="2">
        <v>17.599999999999998</v>
      </c>
      <c r="M124" s="2">
        <v>13.600000000000001</v>
      </c>
      <c r="N124" s="2">
        <v>3.4000000000000004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4.2</v>
      </c>
      <c r="U124" s="1">
        <f>COUNTIF(C124:T124,"&gt;"&amp;VLOOKUP(B124,MetaTable,3,FALSE))</f>
        <v>5</v>
      </c>
      <c r="V124">
        <v>114.8</v>
      </c>
      <c r="W124">
        <f t="shared" si="1"/>
        <v>9.5666666666666664</v>
      </c>
    </row>
    <row r="125" spans="1:23" x14ac:dyDescent="0.45">
      <c r="A125" s="1" t="s">
        <v>129</v>
      </c>
      <c r="B125" s="1" t="s">
        <v>84</v>
      </c>
      <c r="C125" s="2">
        <v>3.2</v>
      </c>
      <c r="D125" s="2">
        <v>3.3000000000000003</v>
      </c>
      <c r="E125" s="2">
        <v>8.7999999999999989</v>
      </c>
      <c r="F125" s="2">
        <v>1.1000000000000001</v>
      </c>
      <c r="G125" s="2">
        <v>0.9</v>
      </c>
      <c r="H125" s="2">
        <v>16.700000000000003</v>
      </c>
      <c r="I125" s="2">
        <v>11.200000000000001</v>
      </c>
      <c r="J125" s="2">
        <v>2.9000000000000004</v>
      </c>
      <c r="K125" s="2">
        <v>16</v>
      </c>
      <c r="L125" s="2">
        <v>0.60000000000000009</v>
      </c>
      <c r="M125" s="2">
        <v>1.1000000000000001</v>
      </c>
      <c r="N125" s="2">
        <v>0</v>
      </c>
      <c r="O125" s="2">
        <v>13.200000000000001</v>
      </c>
      <c r="P125" s="2">
        <v>0</v>
      </c>
      <c r="Q125" s="2">
        <v>9.9</v>
      </c>
      <c r="R125" s="2">
        <v>3.4000000000000004</v>
      </c>
      <c r="S125" s="2">
        <v>1.7999999999999998</v>
      </c>
      <c r="T125" s="2">
        <v>13.5</v>
      </c>
      <c r="U125" s="1">
        <f>COUNTIF(C125:T125,"&gt;"&amp;VLOOKUP(B125,MetaTable,3,FALSE))</f>
        <v>5</v>
      </c>
      <c r="V125">
        <v>107.6</v>
      </c>
      <c r="W125">
        <f t="shared" si="1"/>
        <v>7.6857142857142851</v>
      </c>
    </row>
    <row r="126" spans="1:23" x14ac:dyDescent="0.45">
      <c r="A126" s="1" t="s">
        <v>130</v>
      </c>
      <c r="B126" s="1" t="s">
        <v>84</v>
      </c>
      <c r="C126" s="2">
        <v>8.5</v>
      </c>
      <c r="D126" s="2">
        <v>4.2</v>
      </c>
      <c r="E126" s="2">
        <v>6.4</v>
      </c>
      <c r="F126" s="2">
        <v>18.600000000000001</v>
      </c>
      <c r="G126" s="2">
        <v>3</v>
      </c>
      <c r="H126" s="2">
        <v>0.89999999999999991</v>
      </c>
      <c r="I126" s="2">
        <v>12.3</v>
      </c>
      <c r="J126" s="2">
        <v>2.4000000000000004</v>
      </c>
      <c r="K126" s="2">
        <v>7.3</v>
      </c>
      <c r="L126" s="2">
        <v>0.8</v>
      </c>
      <c r="M126" s="2">
        <v>6.1</v>
      </c>
      <c r="N126" s="2">
        <v>13.2</v>
      </c>
      <c r="O126" s="2">
        <v>4.0999999999999996</v>
      </c>
      <c r="P126" s="2">
        <v>0</v>
      </c>
      <c r="Q126" s="2">
        <v>15.3</v>
      </c>
      <c r="R126" s="2">
        <v>3</v>
      </c>
      <c r="S126" s="2">
        <v>0</v>
      </c>
      <c r="T126" s="2">
        <v>0</v>
      </c>
      <c r="U126" s="1">
        <f>COUNTIF(C126:T126,"&gt;"&amp;VLOOKUP(B126,MetaTable,3,FALSE))</f>
        <v>4</v>
      </c>
      <c r="V126">
        <v>106.1</v>
      </c>
      <c r="W126">
        <f t="shared" si="1"/>
        <v>8.161538461538461</v>
      </c>
    </row>
    <row r="127" spans="1:23" x14ac:dyDescent="0.45">
      <c r="A127" s="1" t="s">
        <v>131</v>
      </c>
      <c r="B127" s="1" t="s">
        <v>84</v>
      </c>
      <c r="C127" s="2">
        <v>0</v>
      </c>
      <c r="D127" s="2">
        <v>0</v>
      </c>
      <c r="E127" s="2">
        <v>1.9000000000000001</v>
      </c>
      <c r="F127" s="2">
        <v>-2</v>
      </c>
      <c r="G127" s="2">
        <v>2.2000000000000002</v>
      </c>
      <c r="H127" s="2">
        <v>9.9</v>
      </c>
      <c r="I127" s="2">
        <v>1.2</v>
      </c>
      <c r="J127" s="2">
        <v>17.7</v>
      </c>
      <c r="K127" s="2">
        <v>0</v>
      </c>
      <c r="L127" s="2">
        <v>0</v>
      </c>
      <c r="M127" s="2">
        <v>0</v>
      </c>
      <c r="N127" s="2">
        <v>0</v>
      </c>
      <c r="O127" s="2">
        <v>8.1</v>
      </c>
      <c r="P127" s="2">
        <v>25.8</v>
      </c>
      <c r="Q127" s="2">
        <v>9.5</v>
      </c>
      <c r="R127" s="2">
        <v>0</v>
      </c>
      <c r="S127" s="2">
        <v>11.9</v>
      </c>
      <c r="T127" s="2">
        <v>0.5</v>
      </c>
      <c r="U127" s="1">
        <f>COUNTIF(C127:T127,"&gt;"&amp;VLOOKUP(B127,MetaTable,3,FALSE))</f>
        <v>3</v>
      </c>
      <c r="V127">
        <v>86.7</v>
      </c>
      <c r="W127">
        <f t="shared" si="1"/>
        <v>9.6333333333333329</v>
      </c>
    </row>
    <row r="128" spans="1:23" x14ac:dyDescent="0.45">
      <c r="A128" s="1" t="s">
        <v>132</v>
      </c>
      <c r="B128" s="1" t="s">
        <v>84</v>
      </c>
      <c r="C128" s="2">
        <v>1.5</v>
      </c>
      <c r="D128" s="2">
        <v>0.8</v>
      </c>
      <c r="E128" s="2">
        <v>5.5</v>
      </c>
      <c r="F128" s="2">
        <v>7.4</v>
      </c>
      <c r="G128" s="2">
        <v>2.9000000000000004</v>
      </c>
      <c r="H128" s="2">
        <v>0</v>
      </c>
      <c r="I128" s="2">
        <v>3.3000000000000003</v>
      </c>
      <c r="J128" s="2">
        <v>4</v>
      </c>
      <c r="K128" s="2">
        <v>11.5</v>
      </c>
      <c r="L128" s="2">
        <v>4.7</v>
      </c>
      <c r="M128" s="2">
        <v>1.8</v>
      </c>
      <c r="N128" s="2">
        <v>3.4</v>
      </c>
      <c r="O128" s="2">
        <v>2</v>
      </c>
      <c r="P128" s="2">
        <v>2.4000000000000004</v>
      </c>
      <c r="Q128" s="2">
        <v>3.9000000000000004</v>
      </c>
      <c r="R128" s="2">
        <v>6.5</v>
      </c>
      <c r="S128" s="2">
        <v>3.9</v>
      </c>
      <c r="T128" s="2">
        <v>1.9</v>
      </c>
      <c r="U128" s="1">
        <f>COUNTIF(C128:T128,"&gt;"&amp;VLOOKUP(B128,MetaTable,3,FALSE))</f>
        <v>1</v>
      </c>
      <c r="V128">
        <v>67.400000000000006</v>
      </c>
      <c r="W128">
        <f t="shared" si="1"/>
        <v>4.2125000000000004</v>
      </c>
    </row>
    <row r="129" spans="1:23" x14ac:dyDescent="0.45">
      <c r="A129" s="1" t="s">
        <v>133</v>
      </c>
      <c r="B129" s="1" t="s">
        <v>84</v>
      </c>
      <c r="C129" s="2">
        <v>11.9</v>
      </c>
      <c r="D129" s="2">
        <v>4.2</v>
      </c>
      <c r="E129" s="2">
        <v>1.7000000000000002</v>
      </c>
      <c r="F129" s="2">
        <v>2.9000000000000004</v>
      </c>
      <c r="G129" s="2">
        <v>1.7000000000000002</v>
      </c>
      <c r="H129" s="2">
        <v>1.7000000000000002</v>
      </c>
      <c r="I129" s="2">
        <v>0</v>
      </c>
      <c r="J129" s="2">
        <v>10.3</v>
      </c>
      <c r="K129" s="2">
        <v>0</v>
      </c>
      <c r="L129" s="2">
        <v>0.20000000000000018</v>
      </c>
      <c r="M129" s="2">
        <v>3.9</v>
      </c>
      <c r="N129" s="2">
        <v>0.60000000000000009</v>
      </c>
      <c r="O129" s="2">
        <v>0.4</v>
      </c>
      <c r="P129" s="2">
        <v>1.1000000000000001</v>
      </c>
      <c r="Q129" s="2">
        <v>4.5999999999999996</v>
      </c>
      <c r="R129" s="2">
        <v>6.1</v>
      </c>
      <c r="S129" s="2">
        <v>0.2</v>
      </c>
      <c r="T129" s="2">
        <v>0</v>
      </c>
      <c r="U129" s="1">
        <f>COUNTIF(C129:T129,"&gt;"&amp;VLOOKUP(B129,MetaTable,3,FALSE))</f>
        <v>2</v>
      </c>
      <c r="V129">
        <v>51.5</v>
      </c>
      <c r="W129">
        <f t="shared" si="1"/>
        <v>4.6818181818181817</v>
      </c>
    </row>
    <row r="130" spans="1:23" x14ac:dyDescent="0.45">
      <c r="A130" s="1" t="s">
        <v>134</v>
      </c>
      <c r="B130" s="1" t="s">
        <v>84</v>
      </c>
      <c r="C130" s="2">
        <v>0.8</v>
      </c>
      <c r="D130" s="2">
        <v>3.3</v>
      </c>
      <c r="E130" s="2">
        <v>3.8000000000000003</v>
      </c>
      <c r="F130" s="2">
        <v>13.4</v>
      </c>
      <c r="G130" s="2">
        <v>11.7</v>
      </c>
      <c r="H130" s="2">
        <v>0.8</v>
      </c>
      <c r="I130" s="2">
        <v>0.60000000000000009</v>
      </c>
      <c r="J130" s="2">
        <v>0.4</v>
      </c>
      <c r="K130" s="2">
        <v>-0.1</v>
      </c>
      <c r="L130" s="2">
        <v>1.1000000000000001</v>
      </c>
      <c r="M130" s="2">
        <v>1.6</v>
      </c>
      <c r="N130" s="2">
        <v>0</v>
      </c>
      <c r="O130" s="2">
        <v>0</v>
      </c>
      <c r="P130" s="2">
        <v>0</v>
      </c>
      <c r="Q130" s="2">
        <v>3.5</v>
      </c>
      <c r="R130" s="2">
        <v>0</v>
      </c>
      <c r="S130" s="2">
        <v>2.3000000000000003</v>
      </c>
      <c r="T130" s="2">
        <v>3.3</v>
      </c>
      <c r="U130" s="1">
        <f>COUNTIF(C130:T130,"&gt;"&amp;VLOOKUP(B130,MetaTable,3,FALSE))</f>
        <v>2</v>
      </c>
      <c r="V130">
        <v>46.5</v>
      </c>
      <c r="W130">
        <f t="shared" si="1"/>
        <v>5.166666666666667</v>
      </c>
    </row>
    <row r="131" spans="1:23" x14ac:dyDescent="0.45">
      <c r="A131" s="1" t="s">
        <v>135</v>
      </c>
      <c r="B131" s="1" t="s">
        <v>84</v>
      </c>
      <c r="C131" s="2">
        <v>1.4000000000000001</v>
      </c>
      <c r="D131" s="2">
        <v>0</v>
      </c>
      <c r="E131" s="2">
        <v>0</v>
      </c>
      <c r="F131" s="2">
        <v>0</v>
      </c>
      <c r="G131" s="2">
        <v>0</v>
      </c>
      <c r="H131" s="2">
        <v>1.3</v>
      </c>
      <c r="I131" s="2">
        <v>0.90000000000000036</v>
      </c>
      <c r="J131" s="2">
        <v>0.4</v>
      </c>
      <c r="K131" s="2">
        <v>3.5</v>
      </c>
      <c r="L131" s="2">
        <v>5.3000000000000007</v>
      </c>
      <c r="M131" s="2">
        <v>4</v>
      </c>
      <c r="N131" s="2">
        <v>1.5</v>
      </c>
      <c r="O131" s="2">
        <v>1.2000000000000002</v>
      </c>
      <c r="P131" s="2">
        <v>0</v>
      </c>
      <c r="Q131" s="2">
        <v>2.2999999999999998</v>
      </c>
      <c r="R131" s="2">
        <v>10.8</v>
      </c>
      <c r="S131" s="2">
        <v>4.2</v>
      </c>
      <c r="T131" s="2">
        <v>9.4</v>
      </c>
      <c r="U131" s="1">
        <f>COUNTIF(C131:T131,"&gt;"&amp;VLOOKUP(B131,MetaTable,3,FALSE))</f>
        <v>1</v>
      </c>
      <c r="V131">
        <v>46.2</v>
      </c>
      <c r="W131">
        <f t="shared" ref="W131:W194" si="2">V131/MAX(1,COUNTIF(C131:T131,"&gt;1"))</f>
        <v>4.2</v>
      </c>
    </row>
    <row r="132" spans="1:23" x14ac:dyDescent="0.45">
      <c r="A132" s="1" t="s">
        <v>136</v>
      </c>
      <c r="B132" s="1" t="s">
        <v>84</v>
      </c>
      <c r="C132" s="2">
        <v>2.2999999999999998</v>
      </c>
      <c r="D132" s="2">
        <v>2.2000000000000002</v>
      </c>
      <c r="E132" s="2">
        <v>0.8</v>
      </c>
      <c r="F132" s="2">
        <v>5</v>
      </c>
      <c r="G132" s="2">
        <v>0</v>
      </c>
      <c r="H132" s="2">
        <v>2.6</v>
      </c>
      <c r="I132" s="2">
        <v>0</v>
      </c>
      <c r="J132" s="2">
        <v>1</v>
      </c>
      <c r="K132" s="2">
        <v>12</v>
      </c>
      <c r="L132" s="2">
        <v>9.6999999999999993</v>
      </c>
      <c r="M132" s="2">
        <v>0</v>
      </c>
      <c r="N132" s="2">
        <v>1.8</v>
      </c>
      <c r="O132" s="2">
        <v>2</v>
      </c>
      <c r="P132" s="2">
        <v>2.4</v>
      </c>
      <c r="Q132" s="2">
        <v>2.2000000000000002</v>
      </c>
      <c r="R132" s="2">
        <v>0</v>
      </c>
      <c r="S132" s="2">
        <v>0</v>
      </c>
      <c r="T132" s="2">
        <v>0</v>
      </c>
      <c r="U132" s="1">
        <f>COUNTIF(C132:T132,"&gt;"&amp;VLOOKUP(B132,MetaTable,3,FALSE))</f>
        <v>1</v>
      </c>
      <c r="V132">
        <v>44</v>
      </c>
      <c r="W132">
        <f t="shared" si="2"/>
        <v>4.4000000000000004</v>
      </c>
    </row>
    <row r="133" spans="1:23" x14ac:dyDescent="0.45">
      <c r="A133" s="1" t="s">
        <v>137</v>
      </c>
      <c r="B133" s="1" t="s">
        <v>84</v>
      </c>
      <c r="C133" s="2">
        <v>0</v>
      </c>
      <c r="D133" s="2">
        <v>1.1000000000000001</v>
      </c>
      <c r="E133" s="2">
        <v>0</v>
      </c>
      <c r="F133" s="2">
        <v>0</v>
      </c>
      <c r="G133" s="2">
        <v>0</v>
      </c>
      <c r="H133" s="2">
        <v>0.5</v>
      </c>
      <c r="I133" s="2">
        <v>0.2</v>
      </c>
      <c r="J133" s="2">
        <v>0</v>
      </c>
      <c r="K133" s="2">
        <v>0</v>
      </c>
      <c r="L133" s="2">
        <v>6.4</v>
      </c>
      <c r="M133" s="2">
        <v>0.1</v>
      </c>
      <c r="N133" s="2">
        <v>0.30000000000000004</v>
      </c>
      <c r="O133" s="2">
        <v>-2</v>
      </c>
      <c r="P133" s="2">
        <v>0</v>
      </c>
      <c r="Q133" s="2">
        <v>0</v>
      </c>
      <c r="R133" s="2">
        <v>10.9</v>
      </c>
      <c r="S133" s="2">
        <v>4.5</v>
      </c>
      <c r="T133" s="2">
        <v>9.3000000000000007</v>
      </c>
      <c r="U133" s="1">
        <f>COUNTIF(C133:T133,"&gt;"&amp;VLOOKUP(B133,MetaTable,3,FALSE))</f>
        <v>1</v>
      </c>
      <c r="V133">
        <v>31.3</v>
      </c>
      <c r="W133">
        <f t="shared" si="2"/>
        <v>6.26</v>
      </c>
    </row>
    <row r="134" spans="1:23" x14ac:dyDescent="0.45">
      <c r="A134" s="1" t="s">
        <v>138</v>
      </c>
      <c r="B134" s="1" t="s">
        <v>84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5.2</v>
      </c>
      <c r="L134" s="2">
        <v>0.4</v>
      </c>
      <c r="M134" s="2">
        <v>0</v>
      </c>
      <c r="N134" s="2">
        <v>0</v>
      </c>
      <c r="O134" s="2">
        <v>15.4</v>
      </c>
      <c r="P134" s="2">
        <v>0</v>
      </c>
      <c r="Q134" s="2">
        <v>0.2</v>
      </c>
      <c r="R134" s="2">
        <v>0.5</v>
      </c>
      <c r="S134" s="2">
        <v>9.3000000000000007</v>
      </c>
      <c r="T134" s="2">
        <v>0</v>
      </c>
      <c r="U134" s="1">
        <f>COUNTIF(C134:T134,"&gt;"&amp;VLOOKUP(B134,MetaTable,3,FALSE))</f>
        <v>1</v>
      </c>
      <c r="V134">
        <v>31</v>
      </c>
      <c r="W134">
        <f t="shared" si="2"/>
        <v>10.333333333333334</v>
      </c>
    </row>
    <row r="135" spans="1:23" x14ac:dyDescent="0.45">
      <c r="A135" s="1" t="s">
        <v>139</v>
      </c>
      <c r="B135" s="1" t="s">
        <v>84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3.3000000000000003</v>
      </c>
      <c r="O135" s="2">
        <v>7.5</v>
      </c>
      <c r="P135" s="2">
        <v>9.9</v>
      </c>
      <c r="Q135" s="2">
        <v>3.5</v>
      </c>
      <c r="R135" s="2">
        <v>0</v>
      </c>
      <c r="S135" s="2">
        <v>0</v>
      </c>
      <c r="T135" s="2">
        <v>0</v>
      </c>
      <c r="U135" s="1">
        <f>COUNTIF(C135:T135,"&gt;"&amp;VLOOKUP(B135,MetaTable,3,FALSE))</f>
        <v>0</v>
      </c>
      <c r="V135">
        <v>24.2</v>
      </c>
      <c r="W135">
        <f t="shared" si="2"/>
        <v>6.05</v>
      </c>
    </row>
    <row r="136" spans="1:23" x14ac:dyDescent="0.45">
      <c r="A136" s="1" t="s">
        <v>140</v>
      </c>
      <c r="B136" s="1" t="s">
        <v>84</v>
      </c>
      <c r="C136" s="2">
        <v>5.8000000000000007</v>
      </c>
      <c r="D136" s="2">
        <v>0.9</v>
      </c>
      <c r="E136" s="2">
        <v>15.5</v>
      </c>
      <c r="F136" s="2">
        <v>2.7</v>
      </c>
      <c r="G136" s="2">
        <v>2.0000000000000004</v>
      </c>
      <c r="H136" s="2">
        <v>7.8000000000000007</v>
      </c>
      <c r="I136" s="2">
        <v>1.1000000000000001</v>
      </c>
      <c r="J136" s="2">
        <v>1.3</v>
      </c>
      <c r="K136" s="2">
        <v>9.4</v>
      </c>
      <c r="L136" s="2">
        <v>0</v>
      </c>
      <c r="M136" s="2">
        <v>1.7000000000000002</v>
      </c>
      <c r="N136" s="2">
        <v>4.1000000000000005</v>
      </c>
      <c r="O136" s="2">
        <v>2</v>
      </c>
      <c r="P136" s="2">
        <v>0.70000000000000007</v>
      </c>
      <c r="Q136" s="2">
        <v>0.9</v>
      </c>
      <c r="R136" s="2">
        <v>12.1</v>
      </c>
      <c r="S136" s="2">
        <v>8.9</v>
      </c>
      <c r="T136" s="2">
        <v>13.600000000000001</v>
      </c>
      <c r="U136" s="1">
        <f>COUNTIF(C136:T136,"&gt;"&amp;VLOOKUP(B136,MetaTable,3,FALSE))</f>
        <v>3</v>
      </c>
      <c r="V136">
        <v>90.5</v>
      </c>
      <c r="W136">
        <f t="shared" si="2"/>
        <v>6.4642857142857144</v>
      </c>
    </row>
    <row r="137" spans="1:23" x14ac:dyDescent="0.45">
      <c r="A137" s="1" t="s">
        <v>141</v>
      </c>
      <c r="B137" s="1" t="s">
        <v>84</v>
      </c>
      <c r="C137" s="2">
        <v>7.2</v>
      </c>
      <c r="D137" s="2">
        <v>14</v>
      </c>
      <c r="E137" s="2">
        <v>16.8</v>
      </c>
      <c r="F137" s="2">
        <v>4.3000000000000007</v>
      </c>
      <c r="G137" s="2">
        <v>0</v>
      </c>
      <c r="H137" s="2">
        <v>0</v>
      </c>
      <c r="I137" s="2">
        <v>2.5999999999999996</v>
      </c>
      <c r="J137" s="2">
        <v>3.3000000000000003</v>
      </c>
      <c r="K137" s="2">
        <v>3.3000000000000003</v>
      </c>
      <c r="L137" s="2">
        <v>5</v>
      </c>
      <c r="M137" s="2">
        <v>0</v>
      </c>
      <c r="N137" s="2">
        <v>8</v>
      </c>
      <c r="O137" s="2">
        <v>2.3000000000000003</v>
      </c>
      <c r="P137" s="2">
        <v>0.8</v>
      </c>
      <c r="Q137" s="2">
        <v>11.6</v>
      </c>
      <c r="R137" s="2">
        <v>1.2000000000000002</v>
      </c>
      <c r="S137" s="2">
        <v>3.5</v>
      </c>
      <c r="T137" s="2">
        <v>2.2000000000000002</v>
      </c>
      <c r="U137" s="1">
        <f>COUNTIF(C137:T137,"&gt;"&amp;VLOOKUP(B137,MetaTable,3,FALSE))</f>
        <v>3</v>
      </c>
      <c r="V137">
        <v>86.1</v>
      </c>
      <c r="W137">
        <f t="shared" si="2"/>
        <v>6.1499999999999995</v>
      </c>
    </row>
    <row r="138" spans="1:23" x14ac:dyDescent="0.45">
      <c r="A138" s="1" t="s">
        <v>142</v>
      </c>
      <c r="B138" s="1" t="s">
        <v>84</v>
      </c>
      <c r="C138" s="2">
        <v>2.2000000000000002</v>
      </c>
      <c r="D138" s="2">
        <v>18.600000000000001</v>
      </c>
      <c r="E138" s="2">
        <v>8.3000000000000007</v>
      </c>
      <c r="F138" s="2">
        <v>5.1000000000000005</v>
      </c>
      <c r="G138" s="2">
        <v>3.3</v>
      </c>
      <c r="H138" s="2">
        <v>0.8</v>
      </c>
      <c r="I138" s="2">
        <v>1.1000000000000001</v>
      </c>
      <c r="J138" s="2">
        <v>9.1999999999999993</v>
      </c>
      <c r="K138" s="2">
        <v>0.9</v>
      </c>
      <c r="L138" s="2">
        <v>3.9000000000000004</v>
      </c>
      <c r="M138" s="2">
        <v>0.60000000000000009</v>
      </c>
      <c r="N138" s="2">
        <v>0</v>
      </c>
      <c r="O138" s="2">
        <v>3.7</v>
      </c>
      <c r="P138" s="2">
        <v>10.1</v>
      </c>
      <c r="Q138" s="2">
        <v>0.5</v>
      </c>
      <c r="R138" s="2">
        <v>1.5</v>
      </c>
      <c r="S138" s="2">
        <v>2.6</v>
      </c>
      <c r="T138" s="2">
        <v>3.3</v>
      </c>
      <c r="U138" s="1">
        <f>COUNTIF(C138:T138,"&gt;"&amp;VLOOKUP(B138,MetaTable,3,FALSE))</f>
        <v>2</v>
      </c>
      <c r="V138">
        <v>75.7</v>
      </c>
      <c r="W138">
        <f t="shared" si="2"/>
        <v>5.8230769230769237</v>
      </c>
    </row>
    <row r="139" spans="1:23" x14ac:dyDescent="0.45">
      <c r="A139" s="1" t="s">
        <v>143</v>
      </c>
      <c r="B139" s="1" t="s">
        <v>84</v>
      </c>
      <c r="C139" s="2">
        <v>2.2000000000000002</v>
      </c>
      <c r="D139" s="2">
        <v>4</v>
      </c>
      <c r="E139" s="2">
        <v>10</v>
      </c>
      <c r="F139" s="2">
        <v>6.1000000000000005</v>
      </c>
      <c r="G139" s="2">
        <v>4.3000000000000007</v>
      </c>
      <c r="H139" s="2">
        <v>1.8000000000000003</v>
      </c>
      <c r="I139" s="2">
        <v>3.3000000000000003</v>
      </c>
      <c r="J139" s="2">
        <v>8</v>
      </c>
      <c r="K139" s="2">
        <v>0</v>
      </c>
      <c r="L139" s="2">
        <v>0.5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25.1</v>
      </c>
      <c r="U139" s="1">
        <f>COUNTIF(C139:T139,"&gt;"&amp;VLOOKUP(B139,MetaTable,3,FALSE))</f>
        <v>1</v>
      </c>
      <c r="V139">
        <v>65.3</v>
      </c>
      <c r="W139">
        <f t="shared" si="2"/>
        <v>7.2555555555555555</v>
      </c>
    </row>
    <row r="140" spans="1:23" x14ac:dyDescent="0.45">
      <c r="A140" s="1" t="s">
        <v>144</v>
      </c>
      <c r="B140" s="1" t="s">
        <v>84</v>
      </c>
      <c r="C140" s="2">
        <v>0</v>
      </c>
      <c r="D140" s="2">
        <v>0</v>
      </c>
      <c r="E140" s="2">
        <v>0.4</v>
      </c>
      <c r="F140" s="2">
        <v>2.2000000000000002</v>
      </c>
      <c r="G140" s="2">
        <v>0</v>
      </c>
      <c r="H140" s="2">
        <v>32.700000000000003</v>
      </c>
      <c r="I140" s="2">
        <v>4.3000000000000007</v>
      </c>
      <c r="J140" s="2">
        <v>2</v>
      </c>
      <c r="K140" s="2">
        <v>2.2000000000000002</v>
      </c>
      <c r="L140" s="2">
        <v>0</v>
      </c>
      <c r="M140" s="2">
        <v>0</v>
      </c>
      <c r="N140" s="2">
        <v>7.5</v>
      </c>
      <c r="O140" s="2">
        <v>0</v>
      </c>
      <c r="P140" s="2">
        <v>4.7</v>
      </c>
      <c r="Q140" s="2">
        <v>1.7000000000000002</v>
      </c>
      <c r="R140" s="2">
        <v>0</v>
      </c>
      <c r="S140" s="2">
        <v>4.9000000000000004</v>
      </c>
      <c r="T140" s="2">
        <v>1.6</v>
      </c>
      <c r="U140" s="1">
        <f>COUNTIF(C140:T140,"&gt;"&amp;VLOOKUP(B140,MetaTable,3,FALSE))</f>
        <v>1</v>
      </c>
      <c r="V140">
        <v>64.2</v>
      </c>
      <c r="W140">
        <f t="shared" si="2"/>
        <v>6.42</v>
      </c>
    </row>
    <row r="141" spans="1:23" x14ac:dyDescent="0.45">
      <c r="A141" s="1" t="s">
        <v>145</v>
      </c>
      <c r="B141" s="1" t="s">
        <v>84</v>
      </c>
      <c r="C141" s="2">
        <v>2.9</v>
      </c>
      <c r="D141" s="2">
        <v>0</v>
      </c>
      <c r="E141" s="2">
        <v>0</v>
      </c>
      <c r="F141" s="2">
        <v>0</v>
      </c>
      <c r="G141" s="2">
        <v>10.8</v>
      </c>
      <c r="H141" s="2">
        <v>0</v>
      </c>
      <c r="I141" s="2">
        <v>3</v>
      </c>
      <c r="J141" s="2">
        <v>15.5</v>
      </c>
      <c r="K141" s="2">
        <v>7.8000000000000007</v>
      </c>
      <c r="L141" s="2">
        <v>4.4000000000000004</v>
      </c>
      <c r="M141" s="2">
        <v>-0.2</v>
      </c>
      <c r="N141" s="2">
        <v>0.7</v>
      </c>
      <c r="O141" s="2">
        <v>4.4000000000000004</v>
      </c>
      <c r="P141" s="2">
        <v>0</v>
      </c>
      <c r="Q141" s="2">
        <v>3.5999999999999996</v>
      </c>
      <c r="R141" s="2">
        <v>5.6</v>
      </c>
      <c r="S141" s="2">
        <v>2.9000000000000004</v>
      </c>
      <c r="T141" s="2">
        <v>0</v>
      </c>
      <c r="U141" s="1">
        <f>COUNTIF(C141:T141,"&gt;"&amp;VLOOKUP(B141,MetaTable,3,FALSE))</f>
        <v>2</v>
      </c>
      <c r="V141">
        <v>61.4</v>
      </c>
      <c r="W141">
        <f t="shared" si="2"/>
        <v>6.14</v>
      </c>
    </row>
    <row r="142" spans="1:23" x14ac:dyDescent="0.45">
      <c r="A142" s="1" t="s">
        <v>146</v>
      </c>
      <c r="B142" s="1" t="s">
        <v>84</v>
      </c>
      <c r="C142" s="2">
        <v>0</v>
      </c>
      <c r="D142" s="2">
        <v>0</v>
      </c>
      <c r="E142" s="2">
        <v>0.1</v>
      </c>
      <c r="F142" s="2">
        <v>19.900000000000002</v>
      </c>
      <c r="G142" s="2">
        <v>10.4</v>
      </c>
      <c r="H142" s="2">
        <v>0.9</v>
      </c>
      <c r="I142" s="2">
        <v>4.2</v>
      </c>
      <c r="J142" s="2">
        <v>-0.1</v>
      </c>
      <c r="K142" s="2">
        <v>2</v>
      </c>
      <c r="L142" s="2">
        <v>6.7</v>
      </c>
      <c r="M142" s="2">
        <v>1.1000000000000001</v>
      </c>
      <c r="N142" s="2">
        <v>2.2000000000000002</v>
      </c>
      <c r="O142" s="2">
        <v>3.2</v>
      </c>
      <c r="P142" s="2">
        <v>0</v>
      </c>
      <c r="Q142" s="2">
        <v>0.9</v>
      </c>
      <c r="R142" s="2">
        <v>5.8</v>
      </c>
      <c r="S142" s="2">
        <v>2</v>
      </c>
      <c r="T142" s="2">
        <v>0</v>
      </c>
      <c r="U142" s="1">
        <f>COUNTIF(C142:T142,"&gt;"&amp;VLOOKUP(B142,MetaTable,3,FALSE))</f>
        <v>2</v>
      </c>
      <c r="V142">
        <v>59.3</v>
      </c>
      <c r="W142">
        <f t="shared" si="2"/>
        <v>5.93</v>
      </c>
    </row>
    <row r="143" spans="1:23" x14ac:dyDescent="0.45">
      <c r="A143" s="1" t="s">
        <v>147</v>
      </c>
      <c r="B143" s="1" t="s">
        <v>84</v>
      </c>
      <c r="C143" s="2">
        <v>0</v>
      </c>
      <c r="D143" s="2">
        <v>1.2000000000000002</v>
      </c>
      <c r="E143" s="2">
        <v>7.6</v>
      </c>
      <c r="F143" s="2">
        <v>0.8</v>
      </c>
      <c r="G143" s="2">
        <v>15.3</v>
      </c>
      <c r="H143" s="2">
        <v>2.9000000000000004</v>
      </c>
      <c r="I143" s="2">
        <v>5.3999999999999995</v>
      </c>
      <c r="J143" s="2">
        <v>1.9000000000000001</v>
      </c>
      <c r="K143" s="2">
        <v>1.8</v>
      </c>
      <c r="L143" s="2">
        <v>0.9</v>
      </c>
      <c r="M143" s="2">
        <v>0.8</v>
      </c>
      <c r="N143" s="2">
        <v>0</v>
      </c>
      <c r="O143" s="2">
        <v>0</v>
      </c>
      <c r="P143" s="2">
        <v>0</v>
      </c>
      <c r="Q143" s="2">
        <v>2.2000000000000002</v>
      </c>
      <c r="R143" s="2">
        <v>2.5</v>
      </c>
      <c r="S143" s="2">
        <v>1.5</v>
      </c>
      <c r="T143" s="2">
        <v>1</v>
      </c>
      <c r="U143" s="1">
        <f>COUNTIF(C143:T143,"&gt;"&amp;VLOOKUP(B143,MetaTable,3,FALSE))</f>
        <v>1</v>
      </c>
      <c r="V143">
        <v>45.8</v>
      </c>
      <c r="W143">
        <f t="shared" si="2"/>
        <v>4.58</v>
      </c>
    </row>
    <row r="144" spans="1:23" x14ac:dyDescent="0.45">
      <c r="A144" s="1" t="s">
        <v>148</v>
      </c>
      <c r="B144" s="1" t="s">
        <v>84</v>
      </c>
      <c r="C144" s="2">
        <v>1.6</v>
      </c>
      <c r="D144" s="2">
        <v>0</v>
      </c>
      <c r="E144" s="2">
        <v>0</v>
      </c>
      <c r="F144" s="2">
        <v>0</v>
      </c>
      <c r="G144" s="2">
        <v>0</v>
      </c>
      <c r="H144" s="2">
        <v>14.200000000000001</v>
      </c>
      <c r="I144" s="2">
        <v>0.2</v>
      </c>
      <c r="J144" s="2">
        <v>0.4</v>
      </c>
      <c r="K144" s="2">
        <v>0</v>
      </c>
      <c r="L144" s="2">
        <v>0</v>
      </c>
      <c r="M144" s="2">
        <v>0.2</v>
      </c>
      <c r="N144" s="2">
        <v>0</v>
      </c>
      <c r="O144" s="2">
        <v>0.6</v>
      </c>
      <c r="P144" s="2">
        <v>0</v>
      </c>
      <c r="Q144" s="2">
        <v>0</v>
      </c>
      <c r="R144" s="2">
        <v>0.4</v>
      </c>
      <c r="S144" s="2">
        <v>1.3</v>
      </c>
      <c r="T144" s="2">
        <v>23.6</v>
      </c>
      <c r="U144" s="1">
        <f>COUNTIF(C144:T144,"&gt;"&amp;VLOOKUP(B144,MetaTable,3,FALSE))</f>
        <v>2</v>
      </c>
      <c r="V144">
        <v>42.5</v>
      </c>
      <c r="W144">
        <f t="shared" si="2"/>
        <v>10.625</v>
      </c>
    </row>
    <row r="145" spans="1:23" x14ac:dyDescent="0.45">
      <c r="A145" s="1" t="s">
        <v>149</v>
      </c>
      <c r="B145" s="1" t="s">
        <v>84</v>
      </c>
      <c r="C145" s="2">
        <v>11.600000000000001</v>
      </c>
      <c r="D145" s="2">
        <v>3.9000000000000004</v>
      </c>
      <c r="E145" s="2">
        <v>0.4</v>
      </c>
      <c r="F145" s="2">
        <v>2.9000000000000004</v>
      </c>
      <c r="G145" s="2">
        <v>0.9</v>
      </c>
      <c r="H145" s="2">
        <v>0.70000000000000007</v>
      </c>
      <c r="I145" s="2">
        <v>1.7000000000000002</v>
      </c>
      <c r="J145" s="2">
        <v>0.4</v>
      </c>
      <c r="K145" s="2">
        <v>0</v>
      </c>
      <c r="L145" s="2">
        <v>0</v>
      </c>
      <c r="M145" s="2">
        <v>0</v>
      </c>
      <c r="N145" s="2">
        <v>0</v>
      </c>
      <c r="O145" s="2">
        <v>1.2000000000000002</v>
      </c>
      <c r="P145" s="2">
        <v>2.5</v>
      </c>
      <c r="Q145" s="2">
        <v>0</v>
      </c>
      <c r="R145" s="2">
        <v>0.8</v>
      </c>
      <c r="S145" s="2">
        <v>2.9000000000000004</v>
      </c>
      <c r="T145" s="2">
        <v>2.7</v>
      </c>
      <c r="U145" s="1">
        <f>COUNTIF(C145:T145,"&gt;"&amp;VLOOKUP(B145,MetaTable,3,FALSE))</f>
        <v>1</v>
      </c>
      <c r="V145">
        <v>32.6</v>
      </c>
      <c r="W145">
        <f t="shared" si="2"/>
        <v>4.0750000000000002</v>
      </c>
    </row>
    <row r="146" spans="1:23" x14ac:dyDescent="0.45">
      <c r="A146" s="1" t="s">
        <v>150</v>
      </c>
      <c r="B146" s="1" t="s">
        <v>84</v>
      </c>
      <c r="C146" s="2">
        <v>0</v>
      </c>
      <c r="D146" s="2">
        <v>2.6</v>
      </c>
      <c r="E146" s="2">
        <v>1.2000000000000002</v>
      </c>
      <c r="F146" s="2">
        <v>0</v>
      </c>
      <c r="G146" s="2">
        <v>2</v>
      </c>
      <c r="H146" s="2">
        <v>5.4</v>
      </c>
      <c r="I146" s="2">
        <v>8.5</v>
      </c>
      <c r="J146" s="2">
        <v>2.8</v>
      </c>
      <c r="K146" s="2">
        <v>0.60000000000000009</v>
      </c>
      <c r="L146" s="2">
        <v>0</v>
      </c>
      <c r="M146" s="2">
        <v>0.30000000000000004</v>
      </c>
      <c r="N146" s="2">
        <v>0</v>
      </c>
      <c r="O146" s="2">
        <v>0</v>
      </c>
      <c r="P146" s="2">
        <v>0</v>
      </c>
      <c r="Q146" s="2">
        <v>0</v>
      </c>
      <c r="R146" s="2">
        <v>1.3</v>
      </c>
      <c r="S146" s="2">
        <v>2.1</v>
      </c>
      <c r="T146" s="2">
        <v>3.1</v>
      </c>
      <c r="U146" s="1">
        <f>COUNTIF(C146:T146,"&gt;"&amp;VLOOKUP(B146,MetaTable,3,FALSE))</f>
        <v>0</v>
      </c>
      <c r="V146">
        <v>29.9</v>
      </c>
      <c r="W146">
        <f t="shared" si="2"/>
        <v>3.322222222222222</v>
      </c>
    </row>
    <row r="147" spans="1:23" x14ac:dyDescent="0.45">
      <c r="A147" s="1" t="s">
        <v>151</v>
      </c>
      <c r="B147" s="1" t="s">
        <v>84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4.6999999999999993</v>
      </c>
      <c r="J147" s="2">
        <v>1.6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9.1999999999999993</v>
      </c>
      <c r="Q147" s="2">
        <v>4.6000000000000005</v>
      </c>
      <c r="R147" s="2">
        <v>4.0999999999999996</v>
      </c>
      <c r="S147" s="2">
        <v>2.4000000000000004</v>
      </c>
      <c r="T147" s="2">
        <v>0</v>
      </c>
      <c r="U147" s="1">
        <f>COUNTIF(C147:T147,"&gt;"&amp;VLOOKUP(B147,MetaTable,3,FALSE))</f>
        <v>0</v>
      </c>
      <c r="V147">
        <v>26.6</v>
      </c>
      <c r="W147">
        <f t="shared" si="2"/>
        <v>4.4333333333333336</v>
      </c>
    </row>
    <row r="148" spans="1:23" x14ac:dyDescent="0.45">
      <c r="A148" s="1" t="s">
        <v>152</v>
      </c>
      <c r="B148" s="1" t="s">
        <v>84</v>
      </c>
      <c r="C148" s="2">
        <v>0.8</v>
      </c>
      <c r="D148" s="2">
        <v>0.6</v>
      </c>
      <c r="E148" s="2">
        <v>0</v>
      </c>
      <c r="F148" s="2">
        <v>0.8</v>
      </c>
      <c r="G148" s="2">
        <v>1</v>
      </c>
      <c r="H148" s="2">
        <v>0</v>
      </c>
      <c r="I148" s="2">
        <v>0</v>
      </c>
      <c r="J148" s="2">
        <v>3.3000000000000003</v>
      </c>
      <c r="K148" s="2">
        <v>-0.1</v>
      </c>
      <c r="L148" s="2">
        <v>0</v>
      </c>
      <c r="M148" s="2">
        <v>0.49999999999999994</v>
      </c>
      <c r="N148" s="2">
        <v>1.6</v>
      </c>
      <c r="O148" s="2">
        <v>6.1</v>
      </c>
      <c r="P148" s="2">
        <v>0</v>
      </c>
      <c r="Q148" s="2">
        <v>0</v>
      </c>
      <c r="R148" s="2">
        <v>9.4</v>
      </c>
      <c r="S148" s="2">
        <v>0</v>
      </c>
      <c r="T148" s="2">
        <v>0.30000000000000004</v>
      </c>
      <c r="U148" s="1">
        <f>COUNTIF(C148:T148,"&gt;"&amp;VLOOKUP(B148,MetaTable,3,FALSE))</f>
        <v>0</v>
      </c>
      <c r="V148">
        <v>24.3</v>
      </c>
      <c r="W148">
        <f t="shared" si="2"/>
        <v>6.0750000000000002</v>
      </c>
    </row>
    <row r="149" spans="1:23" x14ac:dyDescent="0.45">
      <c r="A149" s="1" t="s">
        <v>153</v>
      </c>
      <c r="B149" s="1" t="s">
        <v>84</v>
      </c>
      <c r="C149" s="2">
        <v>1.6</v>
      </c>
      <c r="D149" s="2">
        <v>0.5</v>
      </c>
      <c r="E149" s="2">
        <v>0.9</v>
      </c>
      <c r="F149" s="2">
        <v>2.6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10.200000000000001</v>
      </c>
      <c r="U149" s="1">
        <f>COUNTIF(C149:T149,"&gt;"&amp;VLOOKUP(B149,MetaTable,3,FALSE))</f>
        <v>1</v>
      </c>
      <c r="V149">
        <v>15.8</v>
      </c>
      <c r="W149">
        <f t="shared" si="2"/>
        <v>5.2666666666666666</v>
      </c>
    </row>
    <row r="150" spans="1:23" x14ac:dyDescent="0.45">
      <c r="A150" s="1" t="s">
        <v>154</v>
      </c>
      <c r="B150" s="1" t="s">
        <v>84</v>
      </c>
      <c r="C150" s="2">
        <v>0</v>
      </c>
      <c r="D150" s="2">
        <v>0</v>
      </c>
      <c r="E150" s="2">
        <v>0.7</v>
      </c>
      <c r="F150" s="2">
        <v>0</v>
      </c>
      <c r="G150" s="2">
        <v>9.3000000000000007</v>
      </c>
      <c r="H150" s="2">
        <v>0.9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0.8</v>
      </c>
      <c r="S150" s="2">
        <v>1.3</v>
      </c>
      <c r="T150" s="2">
        <v>0</v>
      </c>
      <c r="U150" s="1">
        <f>COUNTIF(C150:T150,"&gt;"&amp;VLOOKUP(B150,MetaTable,3,FALSE))</f>
        <v>0</v>
      </c>
      <c r="V150">
        <v>13</v>
      </c>
      <c r="W150">
        <f t="shared" si="2"/>
        <v>6.5</v>
      </c>
    </row>
    <row r="151" spans="1:23" x14ac:dyDescent="0.45">
      <c r="A151" s="1" t="s">
        <v>155</v>
      </c>
      <c r="B151" s="1" t="s">
        <v>84</v>
      </c>
      <c r="C151" s="2">
        <v>14.2</v>
      </c>
      <c r="D151" s="2">
        <v>6.1</v>
      </c>
      <c r="E151" s="2">
        <v>11.899999999999999</v>
      </c>
      <c r="F151" s="2">
        <v>6</v>
      </c>
      <c r="G151" s="2">
        <v>9.1000000000000014</v>
      </c>
      <c r="H151" s="2">
        <v>15</v>
      </c>
      <c r="I151" s="2">
        <v>13.8</v>
      </c>
      <c r="J151" s="2">
        <v>6.9</v>
      </c>
      <c r="K151" s="2">
        <v>3.6</v>
      </c>
      <c r="L151" s="2">
        <v>0</v>
      </c>
      <c r="M151" s="2">
        <v>8.4</v>
      </c>
      <c r="N151" s="2">
        <v>0</v>
      </c>
      <c r="O151" s="2">
        <v>0</v>
      </c>
      <c r="P151" s="2">
        <v>0</v>
      </c>
      <c r="Q151" s="2">
        <v>1.4000000000000004</v>
      </c>
      <c r="R151" s="2">
        <v>13.6</v>
      </c>
      <c r="S151" s="2">
        <v>4.3000000000000007</v>
      </c>
      <c r="T151" s="2">
        <v>5.0999999999999996</v>
      </c>
      <c r="U151" s="1">
        <f>COUNTIF(C151:T151,"&gt;"&amp;VLOOKUP(B151,MetaTable,3,FALSE))</f>
        <v>5</v>
      </c>
      <c r="V151">
        <v>119.4</v>
      </c>
      <c r="W151">
        <f t="shared" si="2"/>
        <v>8.5285714285714285</v>
      </c>
    </row>
    <row r="152" spans="1:23" x14ac:dyDescent="0.45">
      <c r="A152" s="1" t="s">
        <v>156</v>
      </c>
      <c r="B152" s="1" t="s">
        <v>84</v>
      </c>
      <c r="C152" s="2">
        <v>3</v>
      </c>
      <c r="D152" s="2">
        <v>7.1000000000000005</v>
      </c>
      <c r="E152" s="2">
        <v>0.6</v>
      </c>
      <c r="F152" s="2">
        <v>0</v>
      </c>
      <c r="G152" s="2">
        <v>0</v>
      </c>
      <c r="H152" s="2">
        <v>3.3000000000000003</v>
      </c>
      <c r="I152" s="2">
        <v>6.9</v>
      </c>
      <c r="J152" s="2">
        <v>6.9</v>
      </c>
      <c r="K152" s="2">
        <v>0</v>
      </c>
      <c r="L152" s="2">
        <v>8.5</v>
      </c>
      <c r="M152" s="2">
        <v>8.8000000000000007</v>
      </c>
      <c r="N152" s="2">
        <v>13.9</v>
      </c>
      <c r="O152" s="2">
        <v>8.4</v>
      </c>
      <c r="P152" s="2">
        <v>8.1999999999999993</v>
      </c>
      <c r="Q152" s="2">
        <v>2</v>
      </c>
      <c r="R152" s="2">
        <v>11.700000000000001</v>
      </c>
      <c r="S152" s="2">
        <v>13.700000000000003</v>
      </c>
      <c r="T152" s="2">
        <v>2.1</v>
      </c>
      <c r="U152" s="1">
        <f>COUNTIF(C152:T152,"&gt;"&amp;VLOOKUP(B152,MetaTable,3,FALSE))</f>
        <v>3</v>
      </c>
      <c r="V152">
        <v>105.1</v>
      </c>
      <c r="W152">
        <f t="shared" si="2"/>
        <v>7.5071428571428571</v>
      </c>
    </row>
    <row r="153" spans="1:23" x14ac:dyDescent="0.45">
      <c r="A153" s="1" t="s">
        <v>157</v>
      </c>
      <c r="B153" s="1" t="s">
        <v>84</v>
      </c>
      <c r="C153" s="2">
        <v>1.8</v>
      </c>
      <c r="D153" s="2">
        <v>10.8</v>
      </c>
      <c r="E153" s="2">
        <v>5.2</v>
      </c>
      <c r="F153" s="2">
        <v>9.4</v>
      </c>
      <c r="G153" s="2">
        <v>6.1000000000000005</v>
      </c>
      <c r="H153" s="2">
        <v>5.8000000000000007</v>
      </c>
      <c r="I153" s="2">
        <v>1.8</v>
      </c>
      <c r="J153" s="2">
        <v>0.70000000000000007</v>
      </c>
      <c r="K153" s="2">
        <v>1.6</v>
      </c>
      <c r="L153" s="2">
        <v>2.6</v>
      </c>
      <c r="M153" s="2">
        <v>2.5</v>
      </c>
      <c r="N153" s="2">
        <v>5</v>
      </c>
      <c r="O153" s="2">
        <v>12.2</v>
      </c>
      <c r="P153" s="2">
        <v>0</v>
      </c>
      <c r="Q153" s="2">
        <v>7.4</v>
      </c>
      <c r="R153" s="2">
        <v>4.6000000000000005</v>
      </c>
      <c r="S153" s="2">
        <v>6.3000000000000007</v>
      </c>
      <c r="T153" s="2">
        <v>8.1000000000000014</v>
      </c>
      <c r="U153" s="1">
        <f>COUNTIF(C153:T153,"&gt;"&amp;VLOOKUP(B153,MetaTable,3,FALSE))</f>
        <v>2</v>
      </c>
      <c r="V153">
        <v>91.9</v>
      </c>
      <c r="W153">
        <f t="shared" si="2"/>
        <v>5.7437500000000004</v>
      </c>
    </row>
    <row r="154" spans="1:23" x14ac:dyDescent="0.45">
      <c r="A154" s="1" t="s">
        <v>158</v>
      </c>
      <c r="B154" s="1" t="s">
        <v>84</v>
      </c>
      <c r="C154" s="2">
        <v>0</v>
      </c>
      <c r="D154" s="2">
        <v>2</v>
      </c>
      <c r="E154" s="2">
        <v>9.4</v>
      </c>
      <c r="F154" s="2">
        <v>5.3000000000000007</v>
      </c>
      <c r="G154" s="2">
        <v>11.7</v>
      </c>
      <c r="H154" s="2">
        <v>-0.1</v>
      </c>
      <c r="I154" s="2">
        <v>0</v>
      </c>
      <c r="J154" s="2">
        <v>0</v>
      </c>
      <c r="K154" s="2">
        <v>6.3000000000000007</v>
      </c>
      <c r="L154" s="2">
        <v>5.2000000000000011</v>
      </c>
      <c r="M154" s="2">
        <v>10.6</v>
      </c>
      <c r="N154" s="2">
        <v>3.0000000000000004</v>
      </c>
      <c r="O154" s="2">
        <v>2.2000000000000002</v>
      </c>
      <c r="P154" s="2">
        <v>3.7</v>
      </c>
      <c r="Q154" s="2">
        <v>8.4</v>
      </c>
      <c r="R154" s="2">
        <v>0.30000000000000004</v>
      </c>
      <c r="S154" s="2">
        <v>10.3</v>
      </c>
      <c r="T154" s="2">
        <v>7.9</v>
      </c>
      <c r="U154" s="1">
        <f>COUNTIF(C154:T154,"&gt;"&amp;VLOOKUP(B154,MetaTable,3,FALSE))</f>
        <v>3</v>
      </c>
      <c r="V154">
        <v>86.2</v>
      </c>
      <c r="W154">
        <f t="shared" si="2"/>
        <v>6.6307692307692312</v>
      </c>
    </row>
    <row r="155" spans="1:23" x14ac:dyDescent="0.45">
      <c r="A155" s="1" t="s">
        <v>159</v>
      </c>
      <c r="B155" s="1" t="s">
        <v>84</v>
      </c>
      <c r="C155" s="2">
        <v>3.3</v>
      </c>
      <c r="D155" s="2">
        <v>0.60000000000000009</v>
      </c>
      <c r="E155" s="2">
        <v>7.9</v>
      </c>
      <c r="F155" s="2">
        <v>5.1000000000000005</v>
      </c>
      <c r="G155" s="2">
        <v>10</v>
      </c>
      <c r="H155" s="2">
        <v>3.5</v>
      </c>
      <c r="I155" s="2">
        <v>3.5</v>
      </c>
      <c r="J155" s="2">
        <v>12.100000000000001</v>
      </c>
      <c r="K155" s="2">
        <v>3.5</v>
      </c>
      <c r="L155" s="2">
        <v>1.2000000000000002</v>
      </c>
      <c r="M155" s="2">
        <v>1.9000000000000001</v>
      </c>
      <c r="N155" s="2">
        <v>4.4000000000000004</v>
      </c>
      <c r="O155" s="2">
        <v>8.9</v>
      </c>
      <c r="P155" s="2">
        <v>0</v>
      </c>
      <c r="Q155" s="2">
        <v>4.9000000000000004</v>
      </c>
      <c r="R155" s="2">
        <v>0</v>
      </c>
      <c r="S155" s="2">
        <v>8.6</v>
      </c>
      <c r="T155" s="2">
        <v>5.8000000000000007</v>
      </c>
      <c r="U155" s="1">
        <f>COUNTIF(C155:T155,"&gt;"&amp;VLOOKUP(B155,MetaTable,3,FALSE))</f>
        <v>1</v>
      </c>
      <c r="V155">
        <v>85.2</v>
      </c>
      <c r="W155">
        <f t="shared" si="2"/>
        <v>5.6800000000000006</v>
      </c>
    </row>
    <row r="156" spans="1:23" x14ac:dyDescent="0.45">
      <c r="A156" s="1" t="s">
        <v>160</v>
      </c>
      <c r="B156" s="1" t="s">
        <v>84</v>
      </c>
      <c r="C156" s="2">
        <v>0.70000000000000007</v>
      </c>
      <c r="D156" s="2">
        <v>3.7</v>
      </c>
      <c r="E156" s="2">
        <v>12.1</v>
      </c>
      <c r="F156" s="2">
        <v>6.3</v>
      </c>
      <c r="G156" s="2">
        <v>1.5</v>
      </c>
      <c r="H156" s="2">
        <v>3.4000000000000004</v>
      </c>
      <c r="I156" s="2">
        <v>6.9</v>
      </c>
      <c r="J156" s="2">
        <v>0</v>
      </c>
      <c r="K156" s="2">
        <v>2.3000000000000003</v>
      </c>
      <c r="L156" s="2">
        <v>4.7</v>
      </c>
      <c r="M156" s="2">
        <v>1.8</v>
      </c>
      <c r="N156" s="2">
        <v>0</v>
      </c>
      <c r="O156" s="2">
        <v>4.2</v>
      </c>
      <c r="P156" s="2">
        <v>12.5</v>
      </c>
      <c r="Q156" s="2">
        <v>14.8</v>
      </c>
      <c r="R156" s="2">
        <v>3</v>
      </c>
      <c r="S156" s="2">
        <v>3</v>
      </c>
      <c r="T156" s="2">
        <v>1.8</v>
      </c>
      <c r="U156" s="1">
        <f>COUNTIF(C156:T156,"&gt;"&amp;VLOOKUP(B156,MetaTable,3,FALSE))</f>
        <v>3</v>
      </c>
      <c r="V156">
        <v>82.7</v>
      </c>
      <c r="W156">
        <f t="shared" si="2"/>
        <v>5.5133333333333336</v>
      </c>
    </row>
    <row r="157" spans="1:23" x14ac:dyDescent="0.45">
      <c r="A157" s="1" t="s">
        <v>161</v>
      </c>
      <c r="B157" s="1" t="s">
        <v>84</v>
      </c>
      <c r="C157" s="2">
        <v>0</v>
      </c>
      <c r="D157" s="2">
        <v>0</v>
      </c>
      <c r="E157" s="2">
        <v>8.1999999999999993</v>
      </c>
      <c r="F157" s="2">
        <v>8.6</v>
      </c>
      <c r="G157" s="2">
        <v>14.5</v>
      </c>
      <c r="H157" s="2">
        <v>4.3</v>
      </c>
      <c r="I157" s="2">
        <v>0</v>
      </c>
      <c r="J157" s="2">
        <v>6.6</v>
      </c>
      <c r="K157" s="2">
        <v>3.0999999999999996</v>
      </c>
      <c r="L157" s="2">
        <v>0.6</v>
      </c>
      <c r="M157" s="2">
        <v>10.600000000000001</v>
      </c>
      <c r="N157" s="2">
        <v>7.7</v>
      </c>
      <c r="O157" s="2">
        <v>0</v>
      </c>
      <c r="P157" s="2">
        <v>0</v>
      </c>
      <c r="Q157" s="2">
        <v>0</v>
      </c>
      <c r="R157" s="2">
        <v>0.30000000000000004</v>
      </c>
      <c r="S157" s="2">
        <v>0.5</v>
      </c>
      <c r="T157" s="2">
        <v>4.4000000000000004</v>
      </c>
      <c r="U157" s="1">
        <f>COUNTIF(C157:T157,"&gt;"&amp;VLOOKUP(B157,MetaTable,3,FALSE))</f>
        <v>2</v>
      </c>
      <c r="V157">
        <v>69.400000000000006</v>
      </c>
      <c r="W157">
        <f t="shared" si="2"/>
        <v>7.7111111111111121</v>
      </c>
    </row>
    <row r="158" spans="1:23" x14ac:dyDescent="0.45">
      <c r="A158" s="1" t="s">
        <v>162</v>
      </c>
      <c r="B158" s="1" t="s">
        <v>84</v>
      </c>
      <c r="C158" s="2">
        <v>5</v>
      </c>
      <c r="D158" s="2">
        <v>3.4000000000000004</v>
      </c>
      <c r="E158" s="2">
        <v>1.1000000000000001</v>
      </c>
      <c r="F158" s="2">
        <v>1.7000000000000002</v>
      </c>
      <c r="G158" s="2">
        <v>0</v>
      </c>
      <c r="H158" s="2">
        <v>9.1</v>
      </c>
      <c r="I158" s="2">
        <v>1.4000000000000001</v>
      </c>
      <c r="J158" s="2">
        <v>1.2000000000000002</v>
      </c>
      <c r="K158" s="2">
        <v>0</v>
      </c>
      <c r="L158" s="2">
        <v>0</v>
      </c>
      <c r="M158" s="2">
        <v>2.2000000000000002</v>
      </c>
      <c r="N158" s="2">
        <v>1.9000000000000001</v>
      </c>
      <c r="O158" s="2">
        <v>-2.1</v>
      </c>
      <c r="P158" s="2">
        <v>0.8</v>
      </c>
      <c r="Q158" s="2">
        <v>0</v>
      </c>
      <c r="R158" s="2">
        <v>3.1</v>
      </c>
      <c r="S158" s="2">
        <v>7.4</v>
      </c>
      <c r="T158" s="2">
        <v>11.9</v>
      </c>
      <c r="U158" s="1">
        <f>COUNTIF(C158:T158,"&gt;"&amp;VLOOKUP(B158,MetaTable,3,FALSE))</f>
        <v>1</v>
      </c>
      <c r="V158">
        <v>48.1</v>
      </c>
      <c r="W158">
        <f t="shared" si="2"/>
        <v>4.0083333333333337</v>
      </c>
    </row>
    <row r="159" spans="1:23" x14ac:dyDescent="0.45">
      <c r="A159" s="1" t="s">
        <v>163</v>
      </c>
      <c r="B159" s="1" t="s">
        <v>84</v>
      </c>
      <c r="C159" s="2">
        <v>3.6</v>
      </c>
      <c r="D159" s="2">
        <v>4.6000000000000005</v>
      </c>
      <c r="E159" s="2">
        <v>0.70000000000000007</v>
      </c>
      <c r="F159" s="2">
        <v>2.9000000000000004</v>
      </c>
      <c r="G159" s="2">
        <v>0.5</v>
      </c>
      <c r="H159" s="2">
        <v>8.9</v>
      </c>
      <c r="I159" s="2">
        <v>1.4000000000000001</v>
      </c>
      <c r="J159" s="2">
        <v>0</v>
      </c>
      <c r="K159" s="2">
        <v>15</v>
      </c>
      <c r="L159" s="2">
        <v>2.2000000000000002</v>
      </c>
      <c r="M159" s="2">
        <v>0</v>
      </c>
      <c r="N159" s="2">
        <v>1.4000000000000001</v>
      </c>
      <c r="O159" s="2">
        <v>2</v>
      </c>
      <c r="P159" s="2">
        <v>3.5</v>
      </c>
      <c r="Q159" s="2">
        <v>0</v>
      </c>
      <c r="R159" s="2">
        <v>0</v>
      </c>
      <c r="S159" s="2">
        <v>0</v>
      </c>
      <c r="T159" s="2">
        <v>0</v>
      </c>
      <c r="U159" s="1">
        <f>COUNTIF(C159:T159,"&gt;"&amp;VLOOKUP(B159,MetaTable,3,FALSE))</f>
        <v>1</v>
      </c>
      <c r="V159">
        <v>46.7</v>
      </c>
      <c r="W159">
        <f t="shared" si="2"/>
        <v>4.67</v>
      </c>
    </row>
    <row r="160" spans="1:23" x14ac:dyDescent="0.45">
      <c r="A160" s="1" t="s">
        <v>164</v>
      </c>
      <c r="B160" s="1" t="s">
        <v>84</v>
      </c>
      <c r="C160" s="2">
        <v>0</v>
      </c>
      <c r="D160" s="2">
        <v>0</v>
      </c>
      <c r="E160" s="2">
        <v>0.60000000000000009</v>
      </c>
      <c r="F160" s="2">
        <v>0</v>
      </c>
      <c r="G160" s="2">
        <v>0</v>
      </c>
      <c r="H160" s="2">
        <v>0</v>
      </c>
      <c r="I160" s="2">
        <v>1.2000000000000002</v>
      </c>
      <c r="J160" s="2">
        <v>0</v>
      </c>
      <c r="K160" s="2">
        <v>0</v>
      </c>
      <c r="L160" s="2">
        <v>1.5</v>
      </c>
      <c r="M160" s="2">
        <v>0</v>
      </c>
      <c r="N160" s="2">
        <v>0</v>
      </c>
      <c r="O160" s="2">
        <v>10.7</v>
      </c>
      <c r="P160" s="2">
        <v>14.2</v>
      </c>
      <c r="Q160" s="2">
        <v>3.1000000000000005</v>
      </c>
      <c r="R160" s="2">
        <v>1.2000000000000002</v>
      </c>
      <c r="S160" s="2">
        <v>4.8</v>
      </c>
      <c r="T160" s="2">
        <v>4.1000000000000005</v>
      </c>
      <c r="U160" s="1">
        <f>COUNTIF(C160:T160,"&gt;"&amp;VLOOKUP(B160,MetaTable,3,FALSE))</f>
        <v>2</v>
      </c>
      <c r="V160">
        <v>41.4</v>
      </c>
      <c r="W160">
        <f t="shared" si="2"/>
        <v>5.1749999999999998</v>
      </c>
    </row>
    <row r="161" spans="1:23" x14ac:dyDescent="0.45">
      <c r="A161" s="1" t="s">
        <v>165</v>
      </c>
      <c r="B161" s="1" t="s">
        <v>84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13.700000000000001</v>
      </c>
      <c r="M161" s="2">
        <v>12.600000000000001</v>
      </c>
      <c r="N161" s="2">
        <v>6.3000000000000007</v>
      </c>
      <c r="O161" s="2">
        <v>7.7000000000000011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1">
        <f>COUNTIF(C161:T161,"&gt;"&amp;VLOOKUP(B161,MetaTable,3,FALSE))</f>
        <v>2</v>
      </c>
      <c r="V161">
        <v>40.299999999999997</v>
      </c>
      <c r="W161">
        <f t="shared" si="2"/>
        <v>10.074999999999999</v>
      </c>
    </row>
    <row r="162" spans="1:23" x14ac:dyDescent="0.45">
      <c r="A162" s="1" t="s">
        <v>166</v>
      </c>
      <c r="B162" s="1" t="s">
        <v>84</v>
      </c>
      <c r="C162" s="2">
        <v>0</v>
      </c>
      <c r="D162" s="2">
        <v>0.7</v>
      </c>
      <c r="E162" s="2">
        <v>0</v>
      </c>
      <c r="F162" s="2">
        <v>0</v>
      </c>
      <c r="G162" s="2">
        <v>7.1999999999999993</v>
      </c>
      <c r="H162" s="2">
        <v>8.5</v>
      </c>
      <c r="I162" s="2">
        <v>11.100000000000001</v>
      </c>
      <c r="J162" s="2">
        <v>0</v>
      </c>
      <c r="K162" s="2">
        <v>0</v>
      </c>
      <c r="L162" s="2">
        <v>7.9</v>
      </c>
      <c r="M162" s="2">
        <v>0</v>
      </c>
      <c r="N162" s="2">
        <v>0</v>
      </c>
      <c r="O162" s="2">
        <v>0</v>
      </c>
      <c r="P162" s="2">
        <v>0</v>
      </c>
      <c r="Q162" s="2">
        <v>0.30000000000000004</v>
      </c>
      <c r="R162" s="2">
        <v>2.2000000000000002</v>
      </c>
      <c r="S162" s="2">
        <v>0</v>
      </c>
      <c r="T162" s="2">
        <v>1</v>
      </c>
      <c r="U162" s="1">
        <f>COUNTIF(C162:T162,"&gt;"&amp;VLOOKUP(B162,MetaTable,3,FALSE))</f>
        <v>1</v>
      </c>
      <c r="V162">
        <v>38.9</v>
      </c>
      <c r="W162">
        <f t="shared" si="2"/>
        <v>7.7799999999999994</v>
      </c>
    </row>
    <row r="163" spans="1:23" x14ac:dyDescent="0.45">
      <c r="A163" s="1" t="s">
        <v>167</v>
      </c>
      <c r="B163" s="1" t="s">
        <v>84</v>
      </c>
      <c r="C163" s="2">
        <v>0</v>
      </c>
      <c r="D163" s="2">
        <v>0</v>
      </c>
      <c r="E163" s="2">
        <v>0.30000000000000004</v>
      </c>
      <c r="F163" s="2">
        <v>0</v>
      </c>
      <c r="G163" s="2">
        <v>0</v>
      </c>
      <c r="H163" s="2">
        <v>2.1</v>
      </c>
      <c r="I163" s="2">
        <v>0</v>
      </c>
      <c r="J163" s="2">
        <v>2.2000000000000002</v>
      </c>
      <c r="K163" s="2">
        <v>5.6</v>
      </c>
      <c r="L163" s="2">
        <v>0</v>
      </c>
      <c r="M163" s="2">
        <v>2.2999999999999998</v>
      </c>
      <c r="N163" s="2">
        <v>3.1</v>
      </c>
      <c r="O163" s="2">
        <v>3.9000000000000004</v>
      </c>
      <c r="P163" s="2">
        <v>0.30000000000000004</v>
      </c>
      <c r="Q163" s="2">
        <v>2</v>
      </c>
      <c r="R163" s="2">
        <v>9</v>
      </c>
      <c r="S163" s="2">
        <v>0</v>
      </c>
      <c r="T163" s="2">
        <v>5.9</v>
      </c>
      <c r="U163" s="1">
        <f>COUNTIF(C163:T163,"&gt;"&amp;VLOOKUP(B163,MetaTable,3,FALSE))</f>
        <v>0</v>
      </c>
      <c r="V163">
        <v>36.700000000000003</v>
      </c>
      <c r="W163">
        <f t="shared" si="2"/>
        <v>4.0777777777777784</v>
      </c>
    </row>
    <row r="164" spans="1:23" x14ac:dyDescent="0.45">
      <c r="A164" s="1" t="s">
        <v>168</v>
      </c>
      <c r="B164" s="1" t="s">
        <v>84</v>
      </c>
      <c r="C164" s="2">
        <v>1.3</v>
      </c>
      <c r="D164" s="2">
        <v>0.30000000000000004</v>
      </c>
      <c r="E164" s="2">
        <v>6.3000000000000007</v>
      </c>
      <c r="F164" s="2">
        <v>7.2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1.4000000000000001</v>
      </c>
      <c r="M164" s="2">
        <v>0.5</v>
      </c>
      <c r="N164" s="2">
        <v>-0.2</v>
      </c>
      <c r="O164" s="2">
        <v>6.8000000000000007</v>
      </c>
      <c r="P164" s="2">
        <v>-1.4</v>
      </c>
      <c r="Q164" s="2">
        <v>1.2999999999999998</v>
      </c>
      <c r="R164" s="2">
        <v>7.7</v>
      </c>
      <c r="S164" s="2">
        <v>0.2</v>
      </c>
      <c r="T164" s="2">
        <v>0.1</v>
      </c>
      <c r="U164" s="1">
        <f>COUNTIF(C164:T164,"&gt;"&amp;VLOOKUP(B164,MetaTable,3,FALSE))</f>
        <v>0</v>
      </c>
      <c r="V164">
        <v>31.5</v>
      </c>
      <c r="W164">
        <f t="shared" si="2"/>
        <v>4.5</v>
      </c>
    </row>
    <row r="165" spans="1:23" x14ac:dyDescent="0.45">
      <c r="A165" s="1" t="s">
        <v>169</v>
      </c>
      <c r="B165" s="1" t="s">
        <v>84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12.1</v>
      </c>
      <c r="I165" s="2">
        <v>2.4</v>
      </c>
      <c r="J165" s="2">
        <v>1.6</v>
      </c>
      <c r="K165" s="2">
        <v>0.70000000000000007</v>
      </c>
      <c r="L165" s="2">
        <v>0</v>
      </c>
      <c r="M165" s="2">
        <v>0</v>
      </c>
      <c r="N165" s="2">
        <v>0</v>
      </c>
      <c r="O165" s="2">
        <v>2</v>
      </c>
      <c r="P165" s="2">
        <v>3.4000000000000004</v>
      </c>
      <c r="Q165" s="2">
        <v>3.2</v>
      </c>
      <c r="R165" s="2">
        <v>2.4000000000000004</v>
      </c>
      <c r="S165" s="2">
        <v>2.4000000000000004</v>
      </c>
      <c r="T165" s="2">
        <v>0</v>
      </c>
      <c r="U165" s="1">
        <f>COUNTIF(C165:T165,"&gt;"&amp;VLOOKUP(B165,MetaTable,3,FALSE))</f>
        <v>1</v>
      </c>
      <c r="V165">
        <v>30.2</v>
      </c>
      <c r="W165">
        <f t="shared" si="2"/>
        <v>3.7749999999999999</v>
      </c>
    </row>
    <row r="166" spans="1:23" x14ac:dyDescent="0.45">
      <c r="A166" s="1" t="s">
        <v>170</v>
      </c>
      <c r="B166" s="1" t="s">
        <v>84</v>
      </c>
      <c r="C166" s="2">
        <v>0</v>
      </c>
      <c r="D166" s="2">
        <v>2.8000000000000003</v>
      </c>
      <c r="E166" s="2">
        <v>0</v>
      </c>
      <c r="F166" s="2">
        <v>0</v>
      </c>
      <c r="G166" s="2">
        <v>3.8</v>
      </c>
      <c r="H166" s="2">
        <v>0</v>
      </c>
      <c r="I166" s="2">
        <v>1.1000000000000001</v>
      </c>
      <c r="J166" s="2">
        <v>2.2999999999999998</v>
      </c>
      <c r="K166" s="2">
        <v>-0.1</v>
      </c>
      <c r="L166" s="2">
        <v>2</v>
      </c>
      <c r="M166" s="2">
        <v>3.3000000000000003</v>
      </c>
      <c r="N166" s="2">
        <v>0.5</v>
      </c>
      <c r="O166" s="2">
        <v>4.2</v>
      </c>
      <c r="P166" s="2">
        <v>3.4000000000000004</v>
      </c>
      <c r="Q166" s="2">
        <v>3</v>
      </c>
      <c r="R166" s="2">
        <v>1.4000000000000001</v>
      </c>
      <c r="S166" s="2">
        <v>-0.4</v>
      </c>
      <c r="T166" s="2">
        <v>2.7</v>
      </c>
      <c r="U166" s="1">
        <f>COUNTIF(C166:T166,"&gt;"&amp;VLOOKUP(B166,MetaTable,3,FALSE))</f>
        <v>0</v>
      </c>
      <c r="V166">
        <v>30</v>
      </c>
      <c r="W166">
        <f t="shared" si="2"/>
        <v>2.7272727272727271</v>
      </c>
    </row>
    <row r="167" spans="1:23" x14ac:dyDescent="0.45">
      <c r="A167" s="1" t="s">
        <v>171</v>
      </c>
      <c r="B167" s="1" t="s">
        <v>84</v>
      </c>
      <c r="C167" s="2">
        <v>0</v>
      </c>
      <c r="D167" s="2">
        <v>5.6000000000000005</v>
      </c>
      <c r="E167" s="2">
        <v>0.5</v>
      </c>
      <c r="F167" s="2">
        <v>1.2</v>
      </c>
      <c r="G167" s="2">
        <v>6.5</v>
      </c>
      <c r="H167" s="2">
        <v>5.6999999999999993</v>
      </c>
      <c r="I167" s="2">
        <v>0.5</v>
      </c>
      <c r="J167" s="2">
        <v>2.6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-1.9</v>
      </c>
      <c r="S167" s="2">
        <v>4.9000000000000004</v>
      </c>
      <c r="T167" s="2">
        <v>4</v>
      </c>
      <c r="U167" s="1">
        <f>COUNTIF(C167:T167,"&gt;"&amp;VLOOKUP(B167,MetaTable,3,FALSE))</f>
        <v>0</v>
      </c>
      <c r="V167">
        <v>29.6</v>
      </c>
      <c r="W167">
        <f t="shared" si="2"/>
        <v>4.2285714285714286</v>
      </c>
    </row>
    <row r="168" spans="1:23" x14ac:dyDescent="0.45">
      <c r="A168" s="1" t="s">
        <v>172</v>
      </c>
      <c r="B168" s="1" t="s">
        <v>84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3.3000000000000003</v>
      </c>
      <c r="I168" s="2">
        <v>0</v>
      </c>
      <c r="J168" s="2">
        <v>0.9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8.5</v>
      </c>
      <c r="Q168" s="2">
        <v>0</v>
      </c>
      <c r="R168" s="2">
        <v>3.0000000000000004</v>
      </c>
      <c r="S168" s="2">
        <v>0</v>
      </c>
      <c r="T168" s="2">
        <v>12.600000000000001</v>
      </c>
      <c r="U168" s="1">
        <f>COUNTIF(C168:T168,"&gt;"&amp;VLOOKUP(B168,MetaTable,3,FALSE))</f>
        <v>1</v>
      </c>
      <c r="V168">
        <v>28.3</v>
      </c>
      <c r="W168">
        <f t="shared" si="2"/>
        <v>7.0750000000000002</v>
      </c>
    </row>
    <row r="169" spans="1:23" x14ac:dyDescent="0.45">
      <c r="A169" s="1" t="s">
        <v>173</v>
      </c>
      <c r="B169" s="1" t="s">
        <v>84</v>
      </c>
      <c r="C169" s="2">
        <v>4</v>
      </c>
      <c r="D169" s="2">
        <v>1</v>
      </c>
      <c r="E169" s="2">
        <v>0</v>
      </c>
      <c r="F169" s="2">
        <v>0</v>
      </c>
      <c r="G169" s="2">
        <v>0.2</v>
      </c>
      <c r="H169" s="2">
        <v>8.8000000000000007</v>
      </c>
      <c r="I169" s="2">
        <v>2</v>
      </c>
      <c r="J169" s="2">
        <v>0.8</v>
      </c>
      <c r="K169" s="2">
        <v>0.8</v>
      </c>
      <c r="L169" s="2">
        <v>0</v>
      </c>
      <c r="M169" s="2">
        <v>0.5</v>
      </c>
      <c r="N169" s="2">
        <v>0</v>
      </c>
      <c r="O169" s="2">
        <v>0</v>
      </c>
      <c r="P169" s="2">
        <v>1.9</v>
      </c>
      <c r="Q169" s="2">
        <v>0</v>
      </c>
      <c r="R169" s="2">
        <v>1.9000000000000001</v>
      </c>
      <c r="S169" s="2">
        <v>6.3000000000000007</v>
      </c>
      <c r="T169" s="2">
        <v>0</v>
      </c>
      <c r="U169" s="1">
        <f>COUNTIF(C169:T169,"&gt;"&amp;VLOOKUP(B169,MetaTable,3,FALSE))</f>
        <v>0</v>
      </c>
      <c r="V169">
        <v>28.2</v>
      </c>
      <c r="W169">
        <f t="shared" si="2"/>
        <v>4.7</v>
      </c>
    </row>
    <row r="170" spans="1:23" x14ac:dyDescent="0.45">
      <c r="A170" s="1" t="s">
        <v>174</v>
      </c>
      <c r="B170" s="1" t="s">
        <v>84</v>
      </c>
      <c r="C170" s="2">
        <v>0.4</v>
      </c>
      <c r="D170" s="2">
        <v>7.7</v>
      </c>
      <c r="E170" s="2">
        <v>0.9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1.4000000000000001</v>
      </c>
      <c r="P170" s="2">
        <v>1.6</v>
      </c>
      <c r="Q170" s="2">
        <v>0.4</v>
      </c>
      <c r="R170" s="2">
        <v>0</v>
      </c>
      <c r="S170" s="2">
        <v>2.3000000000000003</v>
      </c>
      <c r="T170" s="2">
        <v>11.8</v>
      </c>
      <c r="U170" s="1">
        <f>COUNTIF(C170:T170,"&gt;"&amp;VLOOKUP(B170,MetaTable,3,FALSE))</f>
        <v>1</v>
      </c>
      <c r="V170">
        <v>26.5</v>
      </c>
      <c r="W170">
        <f t="shared" si="2"/>
        <v>5.3</v>
      </c>
    </row>
    <row r="171" spans="1:23" x14ac:dyDescent="0.45">
      <c r="A171" s="1" t="s">
        <v>175</v>
      </c>
      <c r="B171" s="1" t="s">
        <v>84</v>
      </c>
      <c r="C171" s="2">
        <v>3.6000000000000005</v>
      </c>
      <c r="D171" s="2">
        <v>5.3000000000000007</v>
      </c>
      <c r="E171" s="2">
        <v>3.4000000000000004</v>
      </c>
      <c r="F171" s="2">
        <v>3</v>
      </c>
      <c r="G171" s="2">
        <v>0</v>
      </c>
      <c r="H171" s="2">
        <v>0</v>
      </c>
      <c r="I171" s="2">
        <v>3.2</v>
      </c>
      <c r="J171" s="2">
        <v>-0.1</v>
      </c>
      <c r="K171" s="2">
        <v>7</v>
      </c>
      <c r="L171" s="2">
        <v>0</v>
      </c>
      <c r="M171" s="2">
        <v>0.9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1">
        <f>COUNTIF(C171:T171,"&gt;"&amp;VLOOKUP(B171,MetaTable,3,FALSE))</f>
        <v>0</v>
      </c>
      <c r="V171">
        <v>26.3</v>
      </c>
      <c r="W171">
        <f t="shared" si="2"/>
        <v>4.3833333333333337</v>
      </c>
    </row>
    <row r="172" spans="1:23" x14ac:dyDescent="0.45">
      <c r="A172" s="1" t="s">
        <v>176</v>
      </c>
      <c r="B172" s="1" t="s">
        <v>84</v>
      </c>
      <c r="C172" s="2">
        <v>5.7</v>
      </c>
      <c r="D172" s="2">
        <v>8.2000000000000011</v>
      </c>
      <c r="E172" s="2">
        <v>1.3</v>
      </c>
      <c r="F172" s="2">
        <v>1.8</v>
      </c>
      <c r="G172" s="2">
        <v>4.9000000000000004</v>
      </c>
      <c r="H172" s="2">
        <v>0</v>
      </c>
      <c r="I172" s="2">
        <v>0.4</v>
      </c>
      <c r="J172" s="2">
        <v>0</v>
      </c>
      <c r="K172" s="2">
        <v>0</v>
      </c>
      <c r="L172" s="2">
        <v>1.8</v>
      </c>
      <c r="M172" s="2">
        <v>0</v>
      </c>
      <c r="N172" s="2">
        <v>0</v>
      </c>
      <c r="O172" s="2">
        <v>0.2</v>
      </c>
      <c r="P172" s="2">
        <v>0</v>
      </c>
      <c r="Q172" s="2">
        <v>0.4</v>
      </c>
      <c r="R172" s="2">
        <v>0</v>
      </c>
      <c r="S172" s="2">
        <v>0.70000000000000007</v>
      </c>
      <c r="T172" s="2">
        <v>0</v>
      </c>
      <c r="U172" s="1">
        <f>COUNTIF(C172:T172,"&gt;"&amp;VLOOKUP(B172,MetaTable,3,FALSE))</f>
        <v>0</v>
      </c>
      <c r="V172">
        <v>25.4</v>
      </c>
      <c r="W172">
        <f t="shared" si="2"/>
        <v>4.2333333333333334</v>
      </c>
    </row>
    <row r="173" spans="1:23" x14ac:dyDescent="0.45">
      <c r="A173" s="1" t="s">
        <v>177</v>
      </c>
      <c r="B173" s="1" t="s">
        <v>84</v>
      </c>
      <c r="C173" s="2">
        <v>0</v>
      </c>
      <c r="D173" s="2">
        <v>0.4</v>
      </c>
      <c r="E173" s="2">
        <v>1.7000000000000002</v>
      </c>
      <c r="F173" s="2">
        <v>3.2</v>
      </c>
      <c r="G173" s="2">
        <v>8.6</v>
      </c>
      <c r="H173" s="2">
        <v>0</v>
      </c>
      <c r="I173" s="2">
        <v>3.3000000000000003</v>
      </c>
      <c r="J173" s="2">
        <v>1.8</v>
      </c>
      <c r="K173" s="2">
        <v>1.8</v>
      </c>
      <c r="L173" s="2">
        <v>0.30000000000000004</v>
      </c>
      <c r="M173" s="2">
        <v>1.1000000000000001</v>
      </c>
      <c r="N173" s="2">
        <v>0.80000000000000027</v>
      </c>
      <c r="O173" s="2">
        <v>0</v>
      </c>
      <c r="P173" s="2">
        <v>2.3000000000000003</v>
      </c>
      <c r="Q173" s="2">
        <v>0.30000000000000004</v>
      </c>
      <c r="R173" s="2">
        <v>0</v>
      </c>
      <c r="S173" s="2">
        <v>0</v>
      </c>
      <c r="T173" s="2">
        <v>-0.4</v>
      </c>
      <c r="U173" s="1">
        <f>COUNTIF(C173:T173,"&gt;"&amp;VLOOKUP(B173,MetaTable,3,FALSE))</f>
        <v>0</v>
      </c>
      <c r="V173">
        <v>25.2</v>
      </c>
      <c r="W173">
        <f t="shared" si="2"/>
        <v>3.15</v>
      </c>
    </row>
    <row r="174" spans="1:23" x14ac:dyDescent="0.45">
      <c r="A174" s="1" t="s">
        <v>178</v>
      </c>
      <c r="B174" s="1" t="s">
        <v>84</v>
      </c>
      <c r="C174" s="2">
        <v>0</v>
      </c>
      <c r="D174" s="2">
        <v>0.2</v>
      </c>
      <c r="E174" s="2">
        <v>0.5</v>
      </c>
      <c r="F174" s="2">
        <v>1.5</v>
      </c>
      <c r="G174" s="2">
        <v>0</v>
      </c>
      <c r="H174" s="2">
        <v>2.6</v>
      </c>
      <c r="I174" s="2">
        <v>13.2</v>
      </c>
      <c r="J174" s="2">
        <v>0</v>
      </c>
      <c r="K174" s="2">
        <v>0.19999999999999996</v>
      </c>
      <c r="L174" s="2">
        <v>2.9</v>
      </c>
      <c r="M174" s="2">
        <v>0.2</v>
      </c>
      <c r="N174" s="2">
        <v>2.5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1">
        <f>COUNTIF(C174:T174,"&gt;"&amp;VLOOKUP(B174,MetaTable,3,FALSE))</f>
        <v>1</v>
      </c>
      <c r="V174">
        <v>23.8</v>
      </c>
      <c r="W174">
        <f t="shared" si="2"/>
        <v>4.76</v>
      </c>
    </row>
    <row r="175" spans="1:23" x14ac:dyDescent="0.45">
      <c r="A175" s="1" t="s">
        <v>179</v>
      </c>
      <c r="B175" s="1" t="s">
        <v>84</v>
      </c>
      <c r="C175" s="2">
        <v>0</v>
      </c>
      <c r="D175" s="2">
        <v>0</v>
      </c>
      <c r="E175" s="2">
        <v>1.1000000000000001</v>
      </c>
      <c r="F175" s="2">
        <v>0</v>
      </c>
      <c r="G175" s="2">
        <v>0</v>
      </c>
      <c r="H175" s="2">
        <v>0</v>
      </c>
      <c r="I175" s="2">
        <v>0.5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5.5000000000000009</v>
      </c>
      <c r="Q175" s="2">
        <v>0.9</v>
      </c>
      <c r="R175" s="2">
        <v>3.4000000000000004</v>
      </c>
      <c r="S175" s="2">
        <v>4.6000000000000005</v>
      </c>
      <c r="T175" s="2">
        <v>4.9000000000000004</v>
      </c>
      <c r="U175" s="1">
        <f>COUNTIF(C175:T175,"&gt;"&amp;VLOOKUP(B175,MetaTable,3,FALSE))</f>
        <v>0</v>
      </c>
      <c r="V175">
        <v>20.9</v>
      </c>
      <c r="W175">
        <f t="shared" si="2"/>
        <v>4.18</v>
      </c>
    </row>
    <row r="176" spans="1:23" x14ac:dyDescent="0.45">
      <c r="A176" s="1" t="s">
        <v>180</v>
      </c>
      <c r="B176" s="1" t="s">
        <v>84</v>
      </c>
      <c r="C176" s="2">
        <v>2.8</v>
      </c>
      <c r="D176" s="2">
        <v>0</v>
      </c>
      <c r="E176" s="2">
        <v>5.1000000000000005</v>
      </c>
      <c r="F176" s="2">
        <v>3.2</v>
      </c>
      <c r="G176" s="2">
        <v>2.9000000000000004</v>
      </c>
      <c r="H176" s="2">
        <v>0</v>
      </c>
      <c r="I176" s="2">
        <v>0</v>
      </c>
      <c r="J176" s="2">
        <v>0</v>
      </c>
      <c r="K176" s="2">
        <v>1.9</v>
      </c>
      <c r="L176" s="2">
        <v>0</v>
      </c>
      <c r="M176" s="2">
        <v>0</v>
      </c>
      <c r="N176" s="2">
        <v>1.5</v>
      </c>
      <c r="O176" s="2">
        <v>0.4</v>
      </c>
      <c r="P176" s="2">
        <v>1</v>
      </c>
      <c r="Q176" s="2">
        <v>0</v>
      </c>
      <c r="R176" s="2">
        <v>0</v>
      </c>
      <c r="S176" s="2">
        <v>0.6</v>
      </c>
      <c r="T176" s="2">
        <v>1.5</v>
      </c>
      <c r="U176" s="1">
        <f>COUNTIF(C176:T176,"&gt;"&amp;VLOOKUP(B176,MetaTable,3,FALSE))</f>
        <v>0</v>
      </c>
      <c r="V176">
        <v>20.9</v>
      </c>
      <c r="W176">
        <f t="shared" si="2"/>
        <v>2.9857142857142853</v>
      </c>
    </row>
    <row r="177" spans="1:23" x14ac:dyDescent="0.45">
      <c r="A177" s="1" t="s">
        <v>181</v>
      </c>
      <c r="B177" s="1" t="s">
        <v>84</v>
      </c>
      <c r="C177" s="2">
        <v>0.8</v>
      </c>
      <c r="D177" s="2">
        <v>0.2</v>
      </c>
      <c r="E177" s="2">
        <v>2.9000000000000004</v>
      </c>
      <c r="F177" s="2">
        <v>0</v>
      </c>
      <c r="G177" s="2">
        <v>6.3</v>
      </c>
      <c r="H177" s="2">
        <v>0</v>
      </c>
      <c r="I177" s="2">
        <v>0.89999999999999991</v>
      </c>
      <c r="J177" s="2">
        <v>3.7</v>
      </c>
      <c r="K177" s="2">
        <v>0</v>
      </c>
      <c r="L177" s="2">
        <v>0</v>
      </c>
      <c r="M177" s="2">
        <v>0</v>
      </c>
      <c r="N177" s="2">
        <v>0</v>
      </c>
      <c r="O177" s="2">
        <v>2.5</v>
      </c>
      <c r="P177" s="2">
        <v>0</v>
      </c>
      <c r="Q177" s="2">
        <v>0</v>
      </c>
      <c r="R177" s="2">
        <v>0.4</v>
      </c>
      <c r="S177" s="2">
        <v>0</v>
      </c>
      <c r="T177" s="2">
        <v>3.1</v>
      </c>
      <c r="U177" s="1">
        <f>COUNTIF(C177:T177,"&gt;"&amp;VLOOKUP(B177,MetaTable,3,FALSE))</f>
        <v>0</v>
      </c>
      <c r="V177">
        <v>20.8</v>
      </c>
      <c r="W177">
        <f t="shared" si="2"/>
        <v>4.16</v>
      </c>
    </row>
    <row r="178" spans="1:23" x14ac:dyDescent="0.45">
      <c r="A178" s="1" t="s">
        <v>182</v>
      </c>
      <c r="B178" s="1" t="s">
        <v>84</v>
      </c>
      <c r="C178" s="2">
        <v>0.30000000000000004</v>
      </c>
      <c r="D178" s="2">
        <v>0.40000000000000036</v>
      </c>
      <c r="E178" s="2">
        <v>7.9</v>
      </c>
      <c r="F178" s="2">
        <v>-0.89999999999999991</v>
      </c>
      <c r="G178" s="2">
        <v>1.2000000000000002</v>
      </c>
      <c r="H178" s="2">
        <v>0</v>
      </c>
      <c r="I178" s="2">
        <v>1.7000000000000002</v>
      </c>
      <c r="J178" s="2">
        <v>1.9000000000000001</v>
      </c>
      <c r="K178" s="2">
        <v>0.9</v>
      </c>
      <c r="L178" s="2">
        <v>0.30000000000000004</v>
      </c>
      <c r="M178" s="2">
        <v>1.2</v>
      </c>
      <c r="N178" s="2">
        <v>1.8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3.7</v>
      </c>
      <c r="U178" s="1">
        <f>COUNTIF(C178:T178,"&gt;"&amp;VLOOKUP(B178,MetaTable,3,FALSE))</f>
        <v>0</v>
      </c>
      <c r="V178">
        <v>20.399999999999999</v>
      </c>
      <c r="W178">
        <f t="shared" si="2"/>
        <v>2.9142857142857141</v>
      </c>
    </row>
    <row r="179" spans="1:23" x14ac:dyDescent="0.45">
      <c r="A179" s="1" t="s">
        <v>183</v>
      </c>
      <c r="B179" s="1" t="s">
        <v>84</v>
      </c>
      <c r="C179" s="2">
        <v>1.1000000000000001</v>
      </c>
      <c r="D179" s="2">
        <v>0</v>
      </c>
      <c r="E179" s="2">
        <v>0</v>
      </c>
      <c r="F179" s="2">
        <v>0</v>
      </c>
      <c r="G179" s="2">
        <v>0</v>
      </c>
      <c r="H179" s="2">
        <v>2.8</v>
      </c>
      <c r="I179" s="2">
        <v>0</v>
      </c>
      <c r="J179" s="2">
        <v>0</v>
      </c>
      <c r="K179" s="2">
        <v>4.3</v>
      </c>
      <c r="L179" s="2">
        <v>1.9</v>
      </c>
      <c r="M179" s="2">
        <v>0.30000000000000004</v>
      </c>
      <c r="N179" s="2">
        <v>0</v>
      </c>
      <c r="O179" s="2">
        <v>0</v>
      </c>
      <c r="P179" s="2">
        <v>0</v>
      </c>
      <c r="Q179" s="2">
        <v>0</v>
      </c>
      <c r="R179" s="2">
        <v>5.6999999999999993</v>
      </c>
      <c r="S179" s="2">
        <v>0</v>
      </c>
      <c r="T179" s="2">
        <v>4</v>
      </c>
      <c r="U179" s="1">
        <f>COUNTIF(C179:T179,"&gt;"&amp;VLOOKUP(B179,MetaTable,3,FALSE))</f>
        <v>0</v>
      </c>
      <c r="V179">
        <v>20.100000000000001</v>
      </c>
      <c r="W179">
        <f t="shared" si="2"/>
        <v>3.35</v>
      </c>
    </row>
    <row r="180" spans="1:23" x14ac:dyDescent="0.45">
      <c r="A180" s="1" t="s">
        <v>184</v>
      </c>
      <c r="B180" s="1" t="s">
        <v>84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2.1</v>
      </c>
      <c r="I180" s="2">
        <v>0</v>
      </c>
      <c r="J180" s="2">
        <v>0.30000000000000004</v>
      </c>
      <c r="K180" s="2">
        <v>0</v>
      </c>
      <c r="L180" s="2">
        <v>0</v>
      </c>
      <c r="M180" s="2">
        <v>2.1</v>
      </c>
      <c r="N180" s="2">
        <v>0.60000000000000009</v>
      </c>
      <c r="O180" s="2">
        <v>0</v>
      </c>
      <c r="P180" s="2">
        <v>0</v>
      </c>
      <c r="Q180" s="2">
        <v>0</v>
      </c>
      <c r="R180" s="2">
        <v>2.8</v>
      </c>
      <c r="S180" s="2">
        <v>7.6</v>
      </c>
      <c r="T180" s="2">
        <v>3.9000000000000004</v>
      </c>
      <c r="U180" s="1">
        <f>COUNTIF(C180:T180,"&gt;"&amp;VLOOKUP(B180,MetaTable,3,FALSE))</f>
        <v>0</v>
      </c>
      <c r="V180">
        <v>19.399999999999999</v>
      </c>
      <c r="W180">
        <f t="shared" si="2"/>
        <v>3.88</v>
      </c>
    </row>
    <row r="181" spans="1:23" x14ac:dyDescent="0.45">
      <c r="A181" s="1" t="s">
        <v>185</v>
      </c>
      <c r="B181" s="1" t="s">
        <v>84</v>
      </c>
      <c r="C181" s="2">
        <v>0</v>
      </c>
      <c r="D181" s="2">
        <v>0</v>
      </c>
      <c r="E181" s="2">
        <v>0</v>
      </c>
      <c r="F181" s="2">
        <v>6</v>
      </c>
      <c r="G181" s="2">
        <v>0</v>
      </c>
      <c r="H181" s="2">
        <v>0</v>
      </c>
      <c r="I181" s="2">
        <v>0</v>
      </c>
      <c r="J181" s="2">
        <v>0</v>
      </c>
      <c r="K181" s="2">
        <v>6.8</v>
      </c>
      <c r="L181" s="2">
        <v>0</v>
      </c>
      <c r="M181" s="2">
        <v>1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1.9000000000000001</v>
      </c>
      <c r="U181" s="1">
        <f>COUNTIF(C181:T181,"&gt;"&amp;VLOOKUP(B181,MetaTable,3,FALSE))</f>
        <v>0</v>
      </c>
      <c r="V181">
        <v>15.7</v>
      </c>
      <c r="W181">
        <f t="shared" si="2"/>
        <v>5.2333333333333334</v>
      </c>
    </row>
    <row r="182" spans="1:23" x14ac:dyDescent="0.45">
      <c r="A182" s="1" t="s">
        <v>186</v>
      </c>
      <c r="B182" s="1" t="s">
        <v>84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1.5</v>
      </c>
      <c r="J182" s="2">
        <v>-0.30000000000000004</v>
      </c>
      <c r="K182" s="2">
        <v>0</v>
      </c>
      <c r="L182" s="2">
        <v>3.4000000000000004</v>
      </c>
      <c r="M182" s="2">
        <v>0</v>
      </c>
      <c r="N182" s="2">
        <v>0</v>
      </c>
      <c r="O182" s="2">
        <v>0.4</v>
      </c>
      <c r="P182" s="2">
        <v>0</v>
      </c>
      <c r="Q182" s="2">
        <v>0</v>
      </c>
      <c r="R182" s="2">
        <v>0</v>
      </c>
      <c r="S182" s="2">
        <v>0</v>
      </c>
      <c r="T182" s="2">
        <v>8.6999999999999993</v>
      </c>
      <c r="U182" s="1">
        <f>COUNTIF(C182:T182,"&gt;"&amp;VLOOKUP(B182,MetaTable,3,FALSE))</f>
        <v>0</v>
      </c>
      <c r="V182">
        <v>13.7</v>
      </c>
      <c r="W182">
        <f t="shared" si="2"/>
        <v>4.5666666666666664</v>
      </c>
    </row>
    <row r="183" spans="1:23" x14ac:dyDescent="0.45">
      <c r="A183" s="1" t="s">
        <v>187</v>
      </c>
      <c r="B183" s="1" t="s">
        <v>84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0.2</v>
      </c>
      <c r="L183" s="2">
        <v>1</v>
      </c>
      <c r="M183" s="2">
        <v>0</v>
      </c>
      <c r="N183" s="2">
        <v>0</v>
      </c>
      <c r="O183" s="2">
        <v>0</v>
      </c>
      <c r="P183" s="2">
        <v>0</v>
      </c>
      <c r="Q183" s="2">
        <v>1.5</v>
      </c>
      <c r="R183" s="2">
        <v>6.6</v>
      </c>
      <c r="S183" s="2">
        <v>1</v>
      </c>
      <c r="T183" s="2">
        <v>3.2</v>
      </c>
      <c r="U183" s="1">
        <f>COUNTIF(C183:T183,"&gt;"&amp;VLOOKUP(B183,MetaTable,3,FALSE))</f>
        <v>0</v>
      </c>
      <c r="V183">
        <v>13.5</v>
      </c>
      <c r="W183">
        <f t="shared" si="2"/>
        <v>4.5</v>
      </c>
    </row>
    <row r="184" spans="1:23" x14ac:dyDescent="0.45">
      <c r="A184" s="1" t="s">
        <v>188</v>
      </c>
      <c r="B184" s="1" t="s">
        <v>84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0.2</v>
      </c>
      <c r="I184" s="2">
        <v>2.9</v>
      </c>
      <c r="J184" s="2">
        <v>3.2</v>
      </c>
      <c r="K184" s="2">
        <v>2.2000000000000002</v>
      </c>
      <c r="L184" s="2">
        <v>0</v>
      </c>
      <c r="M184" s="2">
        <v>0</v>
      </c>
      <c r="N184" s="2">
        <v>1</v>
      </c>
      <c r="O184" s="2">
        <v>0</v>
      </c>
      <c r="P184" s="2">
        <v>0</v>
      </c>
      <c r="Q184" s="2">
        <v>0</v>
      </c>
      <c r="R184" s="2">
        <v>0</v>
      </c>
      <c r="S184" s="2">
        <v>1.7000000000000002</v>
      </c>
      <c r="T184" s="2">
        <v>1.1000000000000001</v>
      </c>
      <c r="U184" s="1">
        <f>COUNTIF(C184:T184,"&gt;"&amp;VLOOKUP(B184,MetaTable,3,FALSE))</f>
        <v>0</v>
      </c>
      <c r="V184">
        <v>12.3</v>
      </c>
      <c r="W184">
        <f t="shared" si="2"/>
        <v>2.46</v>
      </c>
    </row>
    <row r="185" spans="1:23" x14ac:dyDescent="0.45">
      <c r="A185" s="1" t="s">
        <v>189</v>
      </c>
      <c r="B185" s="1" t="s">
        <v>84</v>
      </c>
      <c r="C185" s="2">
        <v>2</v>
      </c>
      <c r="D185" s="2">
        <v>0</v>
      </c>
      <c r="E185" s="2">
        <v>-2</v>
      </c>
      <c r="F185" s="2">
        <v>0.1</v>
      </c>
      <c r="G185" s="2">
        <v>4.9000000000000004</v>
      </c>
      <c r="H185" s="2">
        <v>1.3</v>
      </c>
      <c r="I185" s="2">
        <v>1.4</v>
      </c>
      <c r="J185" s="2">
        <v>0.8</v>
      </c>
      <c r="K185" s="2">
        <v>0</v>
      </c>
      <c r="L185" s="2">
        <v>0</v>
      </c>
      <c r="M185" s="2">
        <v>0</v>
      </c>
      <c r="N185" s="2">
        <v>1.6</v>
      </c>
      <c r="O185" s="2">
        <v>0</v>
      </c>
      <c r="P185" s="2">
        <v>0</v>
      </c>
      <c r="Q185" s="2">
        <v>0</v>
      </c>
      <c r="R185" s="2">
        <v>0.7</v>
      </c>
      <c r="S185" s="2">
        <v>0</v>
      </c>
      <c r="T185" s="2">
        <v>1.5</v>
      </c>
      <c r="U185" s="1">
        <f>COUNTIF(C185:T185,"&gt;"&amp;VLOOKUP(B185,MetaTable,3,FALSE))</f>
        <v>0</v>
      </c>
      <c r="V185">
        <v>12.3</v>
      </c>
      <c r="W185">
        <f t="shared" si="2"/>
        <v>2.0500000000000003</v>
      </c>
    </row>
    <row r="186" spans="1:23" x14ac:dyDescent="0.45">
      <c r="A186" s="1" t="s">
        <v>190</v>
      </c>
      <c r="B186" s="1" t="s">
        <v>84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11.5</v>
      </c>
      <c r="U186" s="1">
        <f>COUNTIF(C186:T186,"&gt;"&amp;VLOOKUP(B186,MetaTable,3,FALSE))</f>
        <v>1</v>
      </c>
      <c r="V186">
        <v>11.5</v>
      </c>
      <c r="W186">
        <f t="shared" si="2"/>
        <v>11.5</v>
      </c>
    </row>
    <row r="187" spans="1:23" x14ac:dyDescent="0.45">
      <c r="A187" s="1" t="s">
        <v>191</v>
      </c>
      <c r="B187" s="1" t="s">
        <v>84</v>
      </c>
      <c r="C187" s="2">
        <v>0.10000000000000009</v>
      </c>
      <c r="D187" s="2">
        <v>0</v>
      </c>
      <c r="E187" s="2">
        <v>0</v>
      </c>
      <c r="F187" s="2">
        <v>0</v>
      </c>
      <c r="G187" s="2">
        <v>7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1.4</v>
      </c>
      <c r="S187" s="2">
        <v>2.5</v>
      </c>
      <c r="T187" s="2">
        <v>0</v>
      </c>
      <c r="U187" s="1">
        <f>COUNTIF(C187:T187,"&gt;"&amp;VLOOKUP(B187,MetaTable,3,FALSE))</f>
        <v>0</v>
      </c>
      <c r="V187">
        <v>11</v>
      </c>
      <c r="W187">
        <f t="shared" si="2"/>
        <v>3.6666666666666665</v>
      </c>
    </row>
    <row r="188" spans="1:23" x14ac:dyDescent="0.45">
      <c r="A188" s="1" t="s">
        <v>192</v>
      </c>
      <c r="B188" s="1" t="s">
        <v>84</v>
      </c>
      <c r="C188" s="2">
        <v>0.4</v>
      </c>
      <c r="D188" s="2">
        <v>2.2000000000000002</v>
      </c>
      <c r="E188" s="2">
        <v>1.8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2.2000000000000002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3.7</v>
      </c>
      <c r="U188" s="1">
        <f>COUNTIF(C188:T188,"&gt;"&amp;VLOOKUP(B188,MetaTable,3,FALSE))</f>
        <v>0</v>
      </c>
      <c r="V188">
        <v>10.3</v>
      </c>
      <c r="W188">
        <f t="shared" si="2"/>
        <v>2.5750000000000002</v>
      </c>
    </row>
    <row r="189" spans="1:23" x14ac:dyDescent="0.45">
      <c r="A189" s="1" t="s">
        <v>193</v>
      </c>
      <c r="B189" s="1" t="s">
        <v>84</v>
      </c>
      <c r="C189" s="2">
        <v>2.6</v>
      </c>
      <c r="D189" s="2">
        <v>2.2000000000000002</v>
      </c>
      <c r="E189" s="2">
        <v>1.4000000000000001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1.6</v>
      </c>
      <c r="Q189" s="2">
        <v>0</v>
      </c>
      <c r="R189" s="2">
        <v>1.2000000000000002</v>
      </c>
      <c r="S189" s="2">
        <v>0.5</v>
      </c>
      <c r="T189" s="2">
        <v>-0.4</v>
      </c>
      <c r="U189" s="1">
        <f>COUNTIF(C189:T189,"&gt;"&amp;VLOOKUP(B189,MetaTable,3,FALSE))</f>
        <v>0</v>
      </c>
      <c r="V189">
        <v>9.1</v>
      </c>
      <c r="W189">
        <f t="shared" si="2"/>
        <v>1.8199999999999998</v>
      </c>
    </row>
    <row r="190" spans="1:23" x14ac:dyDescent="0.45">
      <c r="A190" s="1" t="s">
        <v>194</v>
      </c>
      <c r="B190" s="1" t="s">
        <v>84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4</v>
      </c>
      <c r="T190" s="2">
        <v>4.5</v>
      </c>
      <c r="U190" s="1">
        <f>COUNTIF(C190:T190,"&gt;"&amp;VLOOKUP(B190,MetaTable,3,FALSE))</f>
        <v>0</v>
      </c>
      <c r="V190">
        <v>8.5</v>
      </c>
      <c r="W190">
        <f t="shared" si="2"/>
        <v>4.25</v>
      </c>
    </row>
    <row r="191" spans="1:23" x14ac:dyDescent="0.45">
      <c r="A191" s="1" t="s">
        <v>195</v>
      </c>
      <c r="B191" s="1" t="s">
        <v>84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1.3</v>
      </c>
      <c r="S191" s="2">
        <v>2</v>
      </c>
      <c r="T191" s="2">
        <v>4.7</v>
      </c>
      <c r="U191" s="1">
        <f>COUNTIF(C191:T191,"&gt;"&amp;VLOOKUP(B191,MetaTable,3,FALSE))</f>
        <v>0</v>
      </c>
      <c r="V191">
        <v>8</v>
      </c>
      <c r="W191">
        <f t="shared" si="2"/>
        <v>2.6666666666666665</v>
      </c>
    </row>
    <row r="192" spans="1:23" x14ac:dyDescent="0.45">
      <c r="A192" s="1" t="s">
        <v>196</v>
      </c>
      <c r="B192" s="1" t="s">
        <v>84</v>
      </c>
      <c r="C192" s="2">
        <v>0</v>
      </c>
      <c r="D192" s="2">
        <v>2.3000000000000003</v>
      </c>
      <c r="E192" s="2">
        <v>7</v>
      </c>
      <c r="F192" s="2">
        <v>-1.4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1">
        <f>COUNTIF(C192:T192,"&gt;"&amp;VLOOKUP(B192,MetaTable,3,FALSE))</f>
        <v>0</v>
      </c>
      <c r="V192">
        <v>7.9</v>
      </c>
      <c r="W192">
        <f t="shared" si="2"/>
        <v>3.95</v>
      </c>
    </row>
    <row r="193" spans="1:23" x14ac:dyDescent="0.45">
      <c r="A193" s="1" t="s">
        <v>197</v>
      </c>
      <c r="B193" s="1" t="s">
        <v>84</v>
      </c>
      <c r="C193" s="2">
        <v>0</v>
      </c>
      <c r="D193" s="2">
        <v>2.2000000000000002</v>
      </c>
      <c r="E193" s="2">
        <v>0</v>
      </c>
      <c r="F193" s="2">
        <v>0</v>
      </c>
      <c r="G193" s="2">
        <v>0</v>
      </c>
      <c r="H193" s="2">
        <v>0.5</v>
      </c>
      <c r="I193" s="2">
        <v>0</v>
      </c>
      <c r="J193" s="2">
        <v>0</v>
      </c>
      <c r="K193" s="2">
        <v>0</v>
      </c>
      <c r="L193" s="2">
        <v>0</v>
      </c>
      <c r="M193" s="2">
        <v>0.9</v>
      </c>
      <c r="N193" s="2">
        <v>0</v>
      </c>
      <c r="O193" s="2">
        <v>0</v>
      </c>
      <c r="P193" s="2">
        <v>0</v>
      </c>
      <c r="Q193" s="2">
        <v>0</v>
      </c>
      <c r="R193" s="2">
        <v>3</v>
      </c>
      <c r="S193" s="2">
        <v>0</v>
      </c>
      <c r="T193" s="2">
        <v>0</v>
      </c>
      <c r="U193" s="1">
        <f>COUNTIF(C193:T193,"&gt;"&amp;VLOOKUP(B193,MetaTable,3,FALSE))</f>
        <v>0</v>
      </c>
      <c r="V193">
        <v>6.6</v>
      </c>
      <c r="W193">
        <f t="shared" si="2"/>
        <v>3.3</v>
      </c>
    </row>
    <row r="194" spans="1:23" x14ac:dyDescent="0.45">
      <c r="A194" s="1" t="s">
        <v>198</v>
      </c>
      <c r="B194" s="1" t="s">
        <v>84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5.3000000000000007</v>
      </c>
      <c r="T194" s="2">
        <v>1</v>
      </c>
      <c r="U194" s="1">
        <f>COUNTIF(C194:T194,"&gt;"&amp;VLOOKUP(B194,MetaTable,3,FALSE))</f>
        <v>0</v>
      </c>
      <c r="V194">
        <v>6.3</v>
      </c>
      <c r="W194">
        <f t="shared" si="2"/>
        <v>6.3</v>
      </c>
    </row>
    <row r="195" spans="1:23" x14ac:dyDescent="0.45">
      <c r="A195" s="1" t="s">
        <v>199</v>
      </c>
      <c r="B195" s="1" t="s">
        <v>84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0.70000000000000007</v>
      </c>
      <c r="O195" s="2">
        <v>5.6</v>
      </c>
      <c r="P195" s="2">
        <v>-0.30000000000000004</v>
      </c>
      <c r="Q195" s="2">
        <v>0</v>
      </c>
      <c r="R195" s="2">
        <v>0</v>
      </c>
      <c r="S195" s="2">
        <v>0</v>
      </c>
      <c r="T195" s="2">
        <v>0</v>
      </c>
      <c r="U195" s="1">
        <f>COUNTIF(C195:T195,"&gt;"&amp;VLOOKUP(B195,MetaTable,3,FALSE))</f>
        <v>0</v>
      </c>
      <c r="V195">
        <v>6</v>
      </c>
      <c r="W195">
        <f t="shared" ref="W195:W258" si="3">V195/MAX(1,COUNTIF(C195:T195,"&gt;1"))</f>
        <v>6</v>
      </c>
    </row>
    <row r="196" spans="1:23" x14ac:dyDescent="0.45">
      <c r="A196" s="1" t="s">
        <v>200</v>
      </c>
      <c r="B196" s="1" t="s">
        <v>84</v>
      </c>
      <c r="C196" s="2">
        <v>0.70000000000000007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1.4000000000000001</v>
      </c>
      <c r="R196" s="2">
        <v>0.1</v>
      </c>
      <c r="S196" s="2">
        <v>1.1000000000000001</v>
      </c>
      <c r="T196" s="2">
        <v>2.0999999999999996</v>
      </c>
      <c r="U196" s="1">
        <f>COUNTIF(C196:T196,"&gt;"&amp;VLOOKUP(B196,MetaTable,3,FALSE))</f>
        <v>0</v>
      </c>
      <c r="V196">
        <v>5.4</v>
      </c>
      <c r="W196">
        <f t="shared" si="3"/>
        <v>1.8</v>
      </c>
    </row>
    <row r="197" spans="1:23" x14ac:dyDescent="0.45">
      <c r="A197" s="1" t="s">
        <v>201</v>
      </c>
      <c r="B197" s="1" t="s">
        <v>84</v>
      </c>
      <c r="C197" s="2">
        <v>0</v>
      </c>
      <c r="D197" s="2">
        <v>0</v>
      </c>
      <c r="E197" s="2">
        <v>1.3</v>
      </c>
      <c r="F197" s="2">
        <v>1.8</v>
      </c>
      <c r="G197" s="2">
        <v>0</v>
      </c>
      <c r="H197" s="2">
        <v>0</v>
      </c>
      <c r="I197" s="2">
        <v>0</v>
      </c>
      <c r="J197" s="2">
        <v>0</v>
      </c>
      <c r="K197" s="2">
        <v>2.3000000000000003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1">
        <f>COUNTIF(C197:T197,"&gt;"&amp;VLOOKUP(B197,MetaTable,3,FALSE))</f>
        <v>0</v>
      </c>
      <c r="V197">
        <v>5.4</v>
      </c>
      <c r="W197">
        <f t="shared" si="3"/>
        <v>1.8</v>
      </c>
    </row>
    <row r="198" spans="1:23" x14ac:dyDescent="0.45">
      <c r="A198" s="1" t="s">
        <v>202</v>
      </c>
      <c r="B198" s="1" t="s">
        <v>84</v>
      </c>
      <c r="C198" s="2">
        <v>1</v>
      </c>
      <c r="D198" s="2">
        <v>0.60000000000000009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2.6</v>
      </c>
      <c r="Q198" s="2">
        <v>0.70000000000000007</v>
      </c>
      <c r="R198" s="2">
        <v>0</v>
      </c>
      <c r="S198" s="2">
        <v>0</v>
      </c>
      <c r="T198" s="2">
        <v>0</v>
      </c>
      <c r="U198" s="1">
        <f>COUNTIF(C198:T198,"&gt;"&amp;VLOOKUP(B198,MetaTable,3,FALSE))</f>
        <v>0</v>
      </c>
      <c r="V198">
        <v>4.9000000000000004</v>
      </c>
      <c r="W198">
        <f t="shared" si="3"/>
        <v>4.9000000000000004</v>
      </c>
    </row>
    <row r="199" spans="1:23" x14ac:dyDescent="0.45">
      <c r="A199" s="1" t="s">
        <v>203</v>
      </c>
      <c r="B199" s="1" t="s">
        <v>84</v>
      </c>
      <c r="C199" s="2">
        <v>0</v>
      </c>
      <c r="D199" s="2">
        <v>0</v>
      </c>
      <c r="E199" s="2">
        <v>0</v>
      </c>
      <c r="F199" s="2">
        <v>1.2000000000000002</v>
      </c>
      <c r="G199" s="2">
        <v>0</v>
      </c>
      <c r="H199" s="2">
        <v>0</v>
      </c>
      <c r="I199" s="2">
        <v>0</v>
      </c>
      <c r="J199" s="2">
        <v>1.4</v>
      </c>
      <c r="K199" s="2">
        <v>0</v>
      </c>
      <c r="L199" s="2">
        <v>0</v>
      </c>
      <c r="M199" s="2">
        <v>0</v>
      </c>
      <c r="N199" s="2">
        <v>0</v>
      </c>
      <c r="O199" s="2">
        <v>0.7</v>
      </c>
      <c r="P199" s="2">
        <v>0</v>
      </c>
      <c r="Q199" s="2">
        <v>0</v>
      </c>
      <c r="R199" s="2">
        <v>1.5</v>
      </c>
      <c r="S199" s="2">
        <v>0</v>
      </c>
      <c r="T199" s="2">
        <v>0</v>
      </c>
      <c r="U199" s="1">
        <f>COUNTIF(C199:T199,"&gt;"&amp;VLOOKUP(B199,MetaTable,3,FALSE))</f>
        <v>0</v>
      </c>
      <c r="V199">
        <v>4.8</v>
      </c>
      <c r="W199">
        <f t="shared" si="3"/>
        <v>1.5999999999999999</v>
      </c>
    </row>
    <row r="200" spans="1:23" x14ac:dyDescent="0.45">
      <c r="A200" s="1" t="s">
        <v>204</v>
      </c>
      <c r="B200" s="1" t="s">
        <v>84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4.4000000000000004</v>
      </c>
      <c r="U200" s="1">
        <f>COUNTIF(C200:T200,"&gt;"&amp;VLOOKUP(B200,MetaTable,3,FALSE))</f>
        <v>0</v>
      </c>
      <c r="V200">
        <v>4.4000000000000004</v>
      </c>
      <c r="W200">
        <f t="shared" si="3"/>
        <v>4.4000000000000004</v>
      </c>
    </row>
    <row r="201" spans="1:23" x14ac:dyDescent="0.45">
      <c r="A201" s="1" t="s">
        <v>205</v>
      </c>
      <c r="B201" s="1" t="s">
        <v>84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2.8</v>
      </c>
      <c r="S201" s="2">
        <v>0.9</v>
      </c>
      <c r="T201" s="2">
        <v>0</v>
      </c>
      <c r="U201" s="1">
        <f>COUNTIF(C201:T201,"&gt;"&amp;VLOOKUP(B201,MetaTable,3,FALSE))</f>
        <v>0</v>
      </c>
      <c r="V201">
        <v>3.7</v>
      </c>
      <c r="W201">
        <f t="shared" si="3"/>
        <v>3.7</v>
      </c>
    </row>
    <row r="202" spans="1:23" x14ac:dyDescent="0.45">
      <c r="A202" s="1" t="s">
        <v>206</v>
      </c>
      <c r="B202" s="1" t="s">
        <v>84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2.7</v>
      </c>
      <c r="K202" s="2">
        <v>0.8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1">
        <f>COUNTIF(C202:T202,"&gt;"&amp;VLOOKUP(B202,MetaTable,3,FALSE))</f>
        <v>0</v>
      </c>
      <c r="V202">
        <v>3.5</v>
      </c>
      <c r="W202">
        <f t="shared" si="3"/>
        <v>3.5</v>
      </c>
    </row>
    <row r="203" spans="1:23" x14ac:dyDescent="0.45">
      <c r="A203" s="1" t="s">
        <v>207</v>
      </c>
      <c r="B203" s="1" t="s">
        <v>84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1.3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2</v>
      </c>
      <c r="U203" s="1">
        <f>COUNTIF(C203:T203,"&gt;"&amp;VLOOKUP(B203,MetaTable,3,FALSE))</f>
        <v>0</v>
      </c>
      <c r="V203">
        <v>3.3</v>
      </c>
      <c r="W203">
        <f t="shared" si="3"/>
        <v>1.65</v>
      </c>
    </row>
    <row r="204" spans="1:23" x14ac:dyDescent="0.45">
      <c r="A204" s="1" t="s">
        <v>208</v>
      </c>
      <c r="B204" s="1" t="s">
        <v>84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1.7000000000000002</v>
      </c>
      <c r="J204" s="2">
        <v>0</v>
      </c>
      <c r="K204" s="2">
        <v>0</v>
      </c>
      <c r="L204" s="2">
        <v>0</v>
      </c>
      <c r="M204" s="2">
        <v>1.5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1">
        <f>COUNTIF(C204:T204,"&gt;"&amp;VLOOKUP(B204,MetaTable,3,FALSE))</f>
        <v>0</v>
      </c>
      <c r="V204">
        <v>3.2</v>
      </c>
      <c r="W204">
        <f t="shared" si="3"/>
        <v>1.6</v>
      </c>
    </row>
    <row r="205" spans="1:23" x14ac:dyDescent="0.45">
      <c r="A205" s="1" t="s">
        <v>209</v>
      </c>
      <c r="B205" s="1" t="s">
        <v>84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3.2</v>
      </c>
      <c r="R205" s="2">
        <v>0.2</v>
      </c>
      <c r="S205" s="2">
        <v>-0.30000000000000004</v>
      </c>
      <c r="T205" s="2">
        <v>0</v>
      </c>
      <c r="U205" s="1">
        <f>COUNTIF(C205:T205,"&gt;"&amp;VLOOKUP(B205,MetaTable,3,FALSE))</f>
        <v>0</v>
      </c>
      <c r="V205">
        <v>3.1</v>
      </c>
      <c r="W205">
        <f t="shared" si="3"/>
        <v>3.1</v>
      </c>
    </row>
    <row r="206" spans="1:23" x14ac:dyDescent="0.45">
      <c r="A206" s="1" t="s">
        <v>210</v>
      </c>
      <c r="B206" s="1" t="s">
        <v>84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2.8</v>
      </c>
      <c r="S206" s="2">
        <v>0</v>
      </c>
      <c r="T206" s="2">
        <v>0</v>
      </c>
      <c r="U206" s="1">
        <f>COUNTIF(C206:T206,"&gt;"&amp;VLOOKUP(B206,MetaTable,3,FALSE))</f>
        <v>0</v>
      </c>
      <c r="V206">
        <v>2.8</v>
      </c>
      <c r="W206">
        <f t="shared" si="3"/>
        <v>2.8</v>
      </c>
    </row>
    <row r="207" spans="1:23" x14ac:dyDescent="0.45">
      <c r="A207" s="1" t="s">
        <v>211</v>
      </c>
      <c r="B207" s="1" t="s">
        <v>84</v>
      </c>
      <c r="C207" s="2">
        <v>0</v>
      </c>
      <c r="D207" s="2">
        <v>2.2999999999999998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1">
        <f>COUNTIF(C207:T207,"&gt;"&amp;VLOOKUP(B207,MetaTable,3,FALSE))</f>
        <v>0</v>
      </c>
      <c r="V207">
        <v>2.2999999999999998</v>
      </c>
      <c r="W207">
        <f t="shared" si="3"/>
        <v>2.2999999999999998</v>
      </c>
    </row>
    <row r="208" spans="1:23" x14ac:dyDescent="0.45">
      <c r="A208" s="1" t="s">
        <v>212</v>
      </c>
      <c r="B208" s="1" t="s">
        <v>84</v>
      </c>
      <c r="C208" s="2">
        <v>0</v>
      </c>
      <c r="D208" s="2">
        <v>0</v>
      </c>
      <c r="E208" s="2">
        <v>0</v>
      </c>
      <c r="F208" s="2">
        <v>0</v>
      </c>
      <c r="G208" s="2">
        <v>0.9</v>
      </c>
      <c r="H208" s="2">
        <v>1.3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1">
        <f>COUNTIF(C208:T208,"&gt;"&amp;VLOOKUP(B208,MetaTable,3,FALSE))</f>
        <v>0</v>
      </c>
      <c r="V208">
        <v>2.2000000000000002</v>
      </c>
      <c r="W208">
        <f t="shared" si="3"/>
        <v>2.2000000000000002</v>
      </c>
    </row>
    <row r="209" spans="1:23" x14ac:dyDescent="0.45">
      <c r="A209" s="1" t="s">
        <v>213</v>
      </c>
      <c r="B209" s="1" t="s">
        <v>84</v>
      </c>
      <c r="C209" s="2">
        <v>0</v>
      </c>
      <c r="D209" s="2">
        <v>0</v>
      </c>
      <c r="E209" s="2">
        <v>0</v>
      </c>
      <c r="F209" s="2">
        <v>0.5</v>
      </c>
      <c r="G209" s="2">
        <v>1.4000000000000001</v>
      </c>
      <c r="H209" s="2">
        <v>-0.2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1">
        <f>COUNTIF(C209:T209,"&gt;"&amp;VLOOKUP(B209,MetaTable,3,FALSE))</f>
        <v>0</v>
      </c>
      <c r="V209">
        <v>1.7</v>
      </c>
      <c r="W209">
        <f t="shared" si="3"/>
        <v>1.7</v>
      </c>
    </row>
    <row r="210" spans="1:23" x14ac:dyDescent="0.45">
      <c r="A210" s="1" t="s">
        <v>214</v>
      </c>
      <c r="B210" s="1" t="s">
        <v>84</v>
      </c>
      <c r="C210" s="2">
        <v>-0.30000000000000004</v>
      </c>
      <c r="D210" s="2">
        <v>0</v>
      </c>
      <c r="E210" s="2">
        <v>0</v>
      </c>
      <c r="F210" s="2">
        <v>0</v>
      </c>
      <c r="G210" s="2">
        <v>1.8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1">
        <f>COUNTIF(C210:T210,"&gt;"&amp;VLOOKUP(B210,MetaTable,3,FALSE))</f>
        <v>0</v>
      </c>
      <c r="V210">
        <v>1.5</v>
      </c>
      <c r="W210">
        <f t="shared" si="3"/>
        <v>1.5</v>
      </c>
    </row>
    <row r="211" spans="1:23" x14ac:dyDescent="0.45">
      <c r="A211" s="1" t="s">
        <v>215</v>
      </c>
      <c r="B211" s="1" t="s">
        <v>84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1.4000000000000001</v>
      </c>
      <c r="U211" s="1">
        <f>COUNTIF(C211:T211,"&gt;"&amp;VLOOKUP(B211,MetaTable,3,FALSE))</f>
        <v>0</v>
      </c>
      <c r="V211">
        <v>1.4</v>
      </c>
      <c r="W211">
        <f t="shared" si="3"/>
        <v>1.4</v>
      </c>
    </row>
    <row r="212" spans="1:23" x14ac:dyDescent="0.45">
      <c r="A212" s="1" t="s">
        <v>216</v>
      </c>
      <c r="B212" s="1" t="s">
        <v>84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0.4</v>
      </c>
      <c r="Q212" s="2">
        <v>1</v>
      </c>
      <c r="R212" s="2">
        <v>0</v>
      </c>
      <c r="S212" s="2">
        <v>0</v>
      </c>
      <c r="T212" s="2">
        <v>0</v>
      </c>
      <c r="U212" s="1">
        <f>COUNTIF(C212:T212,"&gt;"&amp;VLOOKUP(B212,MetaTable,3,FALSE))</f>
        <v>0</v>
      </c>
      <c r="V212">
        <v>1.4</v>
      </c>
      <c r="W212">
        <f t="shared" si="3"/>
        <v>1.4</v>
      </c>
    </row>
    <row r="213" spans="1:23" x14ac:dyDescent="0.45">
      <c r="A213" s="1" t="s">
        <v>217</v>
      </c>
      <c r="B213" s="1" t="s">
        <v>84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0.60000000000000009</v>
      </c>
      <c r="T213" s="2">
        <v>0.70000000000000007</v>
      </c>
      <c r="U213" s="1">
        <f>COUNTIF(C213:T213,"&gt;"&amp;VLOOKUP(B213,MetaTable,3,FALSE))</f>
        <v>0</v>
      </c>
      <c r="V213">
        <v>1.3</v>
      </c>
      <c r="W213">
        <f t="shared" si="3"/>
        <v>1.3</v>
      </c>
    </row>
    <row r="214" spans="1:23" x14ac:dyDescent="0.45">
      <c r="A214" s="1" t="s">
        <v>218</v>
      </c>
      <c r="B214" s="1" t="s">
        <v>84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0.70000000000000007</v>
      </c>
      <c r="T214" s="2">
        <v>0</v>
      </c>
      <c r="U214" s="1">
        <f>COUNTIF(C214:T214,"&gt;"&amp;VLOOKUP(B214,MetaTable,3,FALSE))</f>
        <v>0</v>
      </c>
      <c r="V214">
        <v>0.7</v>
      </c>
      <c r="W214">
        <f t="shared" si="3"/>
        <v>0.7</v>
      </c>
    </row>
    <row r="215" spans="1:23" x14ac:dyDescent="0.45">
      <c r="A215" s="1" t="s">
        <v>219</v>
      </c>
      <c r="B215" s="1" t="s">
        <v>84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0.30000000000000004</v>
      </c>
      <c r="T215" s="2">
        <v>0.4</v>
      </c>
      <c r="U215" s="1">
        <f>COUNTIF(C215:T215,"&gt;"&amp;VLOOKUP(B215,MetaTable,3,FALSE))</f>
        <v>0</v>
      </c>
      <c r="V215">
        <v>0.7</v>
      </c>
      <c r="W215">
        <f t="shared" si="3"/>
        <v>0.7</v>
      </c>
    </row>
    <row r="216" spans="1:23" x14ac:dyDescent="0.45">
      <c r="A216" s="1" t="s">
        <v>220</v>
      </c>
      <c r="B216" s="1" t="s">
        <v>84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0.5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1">
        <f>COUNTIF(C216:T216,"&gt;"&amp;VLOOKUP(B216,MetaTable,3,FALSE))</f>
        <v>0</v>
      </c>
      <c r="V216">
        <v>0.5</v>
      </c>
      <c r="W216">
        <f t="shared" si="3"/>
        <v>0.5</v>
      </c>
    </row>
    <row r="217" spans="1:23" x14ac:dyDescent="0.45">
      <c r="A217" s="1" t="s">
        <v>221</v>
      </c>
      <c r="B217" s="1" t="s">
        <v>84</v>
      </c>
      <c r="C217" s="2">
        <v>0.40000000000000036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1">
        <f>COUNTIF(C217:T217,"&gt;"&amp;VLOOKUP(B217,MetaTable,3,FALSE))</f>
        <v>0</v>
      </c>
      <c r="V217">
        <v>0.4</v>
      </c>
      <c r="W217">
        <f t="shared" si="3"/>
        <v>0.4</v>
      </c>
    </row>
    <row r="218" spans="1:23" x14ac:dyDescent="0.45">
      <c r="A218" s="1" t="s">
        <v>222</v>
      </c>
      <c r="B218" s="1" t="s">
        <v>84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0.4</v>
      </c>
      <c r="Q218" s="2">
        <v>0</v>
      </c>
      <c r="R218" s="2">
        <v>0</v>
      </c>
      <c r="S218" s="2">
        <v>0</v>
      </c>
      <c r="T218" s="2">
        <v>0</v>
      </c>
      <c r="U218" s="1">
        <f>COUNTIF(C218:T218,"&gt;"&amp;VLOOKUP(B218,MetaTable,3,FALSE))</f>
        <v>0</v>
      </c>
      <c r="V218">
        <v>0.4</v>
      </c>
      <c r="W218">
        <f t="shared" si="3"/>
        <v>0.4</v>
      </c>
    </row>
    <row r="219" spans="1:23" x14ac:dyDescent="0.45">
      <c r="A219" s="1" t="s">
        <v>223</v>
      </c>
      <c r="B219" s="1" t="s">
        <v>84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0.30000000000000004</v>
      </c>
      <c r="Q219" s="2">
        <v>0</v>
      </c>
      <c r="R219" s="2">
        <v>0</v>
      </c>
      <c r="S219" s="2">
        <v>0</v>
      </c>
      <c r="T219" s="2">
        <v>0</v>
      </c>
      <c r="U219" s="1">
        <f>COUNTIF(C219:T219,"&gt;"&amp;VLOOKUP(B219,MetaTable,3,FALSE))</f>
        <v>0</v>
      </c>
      <c r="V219">
        <v>0.3</v>
      </c>
      <c r="W219">
        <f t="shared" si="3"/>
        <v>0.3</v>
      </c>
    </row>
    <row r="220" spans="1:23" x14ac:dyDescent="0.45">
      <c r="A220" s="1" t="s">
        <v>224</v>
      </c>
      <c r="B220" s="1" t="s">
        <v>84</v>
      </c>
      <c r="C220" s="2">
        <v>0</v>
      </c>
      <c r="D220" s="2">
        <v>0</v>
      </c>
      <c r="E220" s="2">
        <v>0.2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1">
        <f>COUNTIF(C220:T220,"&gt;"&amp;VLOOKUP(B220,MetaTable,3,FALSE))</f>
        <v>0</v>
      </c>
      <c r="V220">
        <v>0.2</v>
      </c>
      <c r="W220">
        <f t="shared" si="3"/>
        <v>0.2</v>
      </c>
    </row>
    <row r="221" spans="1:23" x14ac:dyDescent="0.45">
      <c r="A221" s="1" t="s">
        <v>225</v>
      </c>
      <c r="B221" s="1" t="s">
        <v>84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0.2</v>
      </c>
      <c r="U221" s="1">
        <f>COUNTIF(C221:T221,"&gt;"&amp;VLOOKUP(B221,MetaTable,3,FALSE))</f>
        <v>0</v>
      </c>
      <c r="V221">
        <v>0.2</v>
      </c>
      <c r="W221">
        <f t="shared" si="3"/>
        <v>0.2</v>
      </c>
    </row>
    <row r="222" spans="1:23" x14ac:dyDescent="0.45">
      <c r="A222" s="1" t="s">
        <v>226</v>
      </c>
      <c r="B222" s="1" t="s">
        <v>84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-2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1">
        <f>COUNTIF(C222:T222,"&gt;"&amp;VLOOKUP(B222,MetaTable,3,FALSE))</f>
        <v>0</v>
      </c>
      <c r="V222">
        <v>-2</v>
      </c>
      <c r="W222">
        <f t="shared" si="3"/>
        <v>-2</v>
      </c>
    </row>
    <row r="223" spans="1:23" x14ac:dyDescent="0.45">
      <c r="A223" s="1" t="s">
        <v>227</v>
      </c>
      <c r="B223" s="1" t="s">
        <v>228</v>
      </c>
      <c r="C223" s="2">
        <v>6</v>
      </c>
      <c r="D223" s="2">
        <v>17.100000000000001</v>
      </c>
      <c r="E223" s="2">
        <v>0</v>
      </c>
      <c r="F223" s="2">
        <v>12.5</v>
      </c>
      <c r="G223" s="2">
        <v>16.399999999999999</v>
      </c>
      <c r="H223" s="2">
        <v>20.3</v>
      </c>
      <c r="I223" s="2">
        <v>12.200000000000001</v>
      </c>
      <c r="J223" s="2">
        <v>21.8</v>
      </c>
      <c r="K223" s="2">
        <v>0</v>
      </c>
      <c r="L223" s="2">
        <v>13.2</v>
      </c>
      <c r="M223" s="2">
        <v>0</v>
      </c>
      <c r="N223" s="2">
        <v>17.200000000000003</v>
      </c>
      <c r="O223" s="2">
        <v>1.2000000000000002</v>
      </c>
      <c r="P223" s="2">
        <v>18.100000000000001</v>
      </c>
      <c r="Q223" s="2">
        <v>8.1000000000000014</v>
      </c>
      <c r="R223" s="2">
        <v>14.600000000000001</v>
      </c>
      <c r="S223" s="2">
        <v>15.200000000000001</v>
      </c>
      <c r="T223" s="2">
        <v>3.7</v>
      </c>
      <c r="U223" s="1">
        <f>COUNTIF(C223:T223,"&gt;"&amp;VLOOKUP(B223,MetaTable,3,FALSE))</f>
        <v>12</v>
      </c>
      <c r="V223">
        <v>197.6</v>
      </c>
      <c r="W223">
        <f t="shared" si="3"/>
        <v>13.173333333333334</v>
      </c>
    </row>
    <row r="224" spans="1:23" x14ac:dyDescent="0.45">
      <c r="A224" s="1" t="s">
        <v>229</v>
      </c>
      <c r="B224" s="1" t="s">
        <v>228</v>
      </c>
      <c r="C224" s="2">
        <v>5.5</v>
      </c>
      <c r="D224" s="2">
        <v>15.7</v>
      </c>
      <c r="E224" s="2">
        <v>4</v>
      </c>
      <c r="F224" s="2">
        <v>0</v>
      </c>
      <c r="G224" s="2">
        <v>8.3000000000000007</v>
      </c>
      <c r="H224" s="2">
        <v>13.600000000000001</v>
      </c>
      <c r="I224" s="2">
        <v>7.6000000000000005</v>
      </c>
      <c r="J224" s="2">
        <v>16.899999999999999</v>
      </c>
      <c r="K224" s="2">
        <v>11.2</v>
      </c>
      <c r="L224" s="2">
        <v>9.1000000000000014</v>
      </c>
      <c r="M224" s="2">
        <v>0</v>
      </c>
      <c r="N224" s="2">
        <v>19.3</v>
      </c>
      <c r="O224" s="2">
        <v>15.600000000000001</v>
      </c>
      <c r="P224" s="2">
        <v>10.5</v>
      </c>
      <c r="Q224" s="2">
        <v>13.200000000000001</v>
      </c>
      <c r="R224" s="2">
        <v>3.5</v>
      </c>
      <c r="S224" s="2">
        <v>24.3</v>
      </c>
      <c r="T224" s="2">
        <v>16</v>
      </c>
      <c r="U224" s="1">
        <f>COUNTIF(C224:T224,"&gt;"&amp;VLOOKUP(B224,MetaTable,3,FALSE))</f>
        <v>12</v>
      </c>
      <c r="V224">
        <v>194.3</v>
      </c>
      <c r="W224">
        <f t="shared" si="3"/>
        <v>12.143750000000001</v>
      </c>
    </row>
    <row r="225" spans="1:23" x14ac:dyDescent="0.45">
      <c r="A225" s="1" t="s">
        <v>230</v>
      </c>
      <c r="B225" s="1" t="s">
        <v>228</v>
      </c>
      <c r="C225" s="2">
        <v>1.2000000000000002</v>
      </c>
      <c r="D225" s="2">
        <v>8.3000000000000007</v>
      </c>
      <c r="E225" s="2">
        <v>2.8</v>
      </c>
      <c r="F225" s="2">
        <v>0</v>
      </c>
      <c r="G225" s="2">
        <v>8.6</v>
      </c>
      <c r="H225" s="2">
        <v>0</v>
      </c>
      <c r="I225" s="2">
        <v>19.100000000000001</v>
      </c>
      <c r="J225" s="2">
        <v>4</v>
      </c>
      <c r="K225" s="2">
        <v>7.1000000000000005</v>
      </c>
      <c r="L225" s="2">
        <v>6</v>
      </c>
      <c r="M225" s="2">
        <v>25.1</v>
      </c>
      <c r="N225" s="2">
        <v>19.200000000000003</v>
      </c>
      <c r="O225" s="2">
        <v>16.3</v>
      </c>
      <c r="P225" s="2">
        <v>11.9</v>
      </c>
      <c r="Q225" s="2">
        <v>15.3</v>
      </c>
      <c r="R225" s="2">
        <v>9.1999999999999993</v>
      </c>
      <c r="S225" s="2">
        <v>10.1</v>
      </c>
      <c r="T225" s="2">
        <v>14.100000000000001</v>
      </c>
      <c r="U225" s="1">
        <f>COUNTIF(C225:T225,"&gt;"&amp;VLOOKUP(B225,MetaTable,3,FALSE))</f>
        <v>11</v>
      </c>
      <c r="V225">
        <v>178.3</v>
      </c>
      <c r="W225">
        <f t="shared" si="3"/>
        <v>11.143750000000001</v>
      </c>
    </row>
    <row r="226" spans="1:23" x14ac:dyDescent="0.45">
      <c r="A226" s="1" t="s">
        <v>231</v>
      </c>
      <c r="B226" s="1" t="s">
        <v>228</v>
      </c>
      <c r="C226" s="2">
        <v>8.8000000000000007</v>
      </c>
      <c r="D226" s="2">
        <v>14.3</v>
      </c>
      <c r="E226" s="2">
        <v>5.6000000000000005</v>
      </c>
      <c r="F226" s="2">
        <v>4.1000000000000005</v>
      </c>
      <c r="G226" s="2">
        <v>19.700000000000003</v>
      </c>
      <c r="H226" s="2">
        <v>11.600000000000001</v>
      </c>
      <c r="I226" s="2">
        <v>14.3</v>
      </c>
      <c r="J226" s="2">
        <v>8.3000000000000007</v>
      </c>
      <c r="K226" s="2">
        <v>13</v>
      </c>
      <c r="L226" s="2">
        <v>0</v>
      </c>
      <c r="M226" s="2">
        <v>24.8</v>
      </c>
      <c r="N226" s="2">
        <v>5.8000000000000007</v>
      </c>
      <c r="O226" s="2">
        <v>25.2</v>
      </c>
      <c r="P226" s="2">
        <v>6.7</v>
      </c>
      <c r="Q226" s="2">
        <v>5</v>
      </c>
      <c r="R226" s="2">
        <v>15.4</v>
      </c>
      <c r="S226" s="2">
        <v>11.1</v>
      </c>
      <c r="T226" s="2">
        <v>13</v>
      </c>
      <c r="U226" s="1">
        <f>COUNTIF(C226:T226,"&gt;"&amp;VLOOKUP(B226,MetaTable,3,FALSE))</f>
        <v>12</v>
      </c>
      <c r="V226">
        <v>206.7</v>
      </c>
      <c r="W226">
        <f t="shared" si="3"/>
        <v>12.158823529411764</v>
      </c>
    </row>
    <row r="227" spans="1:23" x14ac:dyDescent="0.45">
      <c r="A227" s="1" t="s">
        <v>232</v>
      </c>
      <c r="B227" s="1" t="s">
        <v>228</v>
      </c>
      <c r="C227" s="2">
        <v>2.4000000000000004</v>
      </c>
      <c r="D227" s="2">
        <v>7.1000000000000005</v>
      </c>
      <c r="E227" s="2">
        <v>0</v>
      </c>
      <c r="F227" s="2">
        <v>0</v>
      </c>
      <c r="G227" s="2">
        <v>7.5</v>
      </c>
      <c r="H227" s="2">
        <v>14.100000000000001</v>
      </c>
      <c r="I227" s="2">
        <v>18.100000000000001</v>
      </c>
      <c r="J227" s="2">
        <v>12.1</v>
      </c>
      <c r="K227" s="2">
        <v>3.6</v>
      </c>
      <c r="L227" s="2">
        <v>15.8</v>
      </c>
      <c r="M227" s="2">
        <v>3.2</v>
      </c>
      <c r="N227" s="2">
        <v>13.100000000000001</v>
      </c>
      <c r="O227" s="2">
        <v>15.9</v>
      </c>
      <c r="P227" s="2">
        <v>0</v>
      </c>
      <c r="Q227" s="2">
        <v>9.4</v>
      </c>
      <c r="R227" s="2">
        <v>11.8</v>
      </c>
      <c r="S227" s="2">
        <v>13.8</v>
      </c>
      <c r="T227" s="2">
        <v>13.4</v>
      </c>
      <c r="U227" s="1">
        <f>COUNTIF(C227:T227,"&gt;"&amp;VLOOKUP(B227,MetaTable,3,FALSE))</f>
        <v>10</v>
      </c>
      <c r="V227">
        <v>161.30000000000001</v>
      </c>
      <c r="W227">
        <f t="shared" si="3"/>
        <v>10.753333333333334</v>
      </c>
    </row>
    <row r="228" spans="1:23" x14ac:dyDescent="0.45">
      <c r="A228" s="1" t="s">
        <v>233</v>
      </c>
      <c r="B228" s="1" t="s">
        <v>228</v>
      </c>
      <c r="C228" s="2">
        <v>4.9000000000000004</v>
      </c>
      <c r="D228" s="2">
        <v>1.1000000000000001</v>
      </c>
      <c r="E228" s="2">
        <v>5</v>
      </c>
      <c r="F228" s="2">
        <v>12.4</v>
      </c>
      <c r="G228" s="2">
        <v>11.5</v>
      </c>
      <c r="H228" s="2">
        <v>0</v>
      </c>
      <c r="I228" s="2">
        <v>3.7</v>
      </c>
      <c r="J228" s="2">
        <v>20</v>
      </c>
      <c r="K228" s="2">
        <v>15</v>
      </c>
      <c r="L228" s="2">
        <v>16.399999999999999</v>
      </c>
      <c r="M228" s="2">
        <v>1.8</v>
      </c>
      <c r="N228" s="2">
        <v>9.1999999999999993</v>
      </c>
      <c r="O228" s="2">
        <v>10.3</v>
      </c>
      <c r="P228" s="2">
        <v>7</v>
      </c>
      <c r="Q228" s="2">
        <v>4.7</v>
      </c>
      <c r="R228" s="2">
        <v>5.5</v>
      </c>
      <c r="S228" s="2">
        <v>18.399999999999999</v>
      </c>
      <c r="T228" s="2">
        <v>0</v>
      </c>
      <c r="U228" s="1">
        <f>COUNTIF(C228:T228,"&gt;"&amp;VLOOKUP(B228,MetaTable,3,FALSE))</f>
        <v>8</v>
      </c>
      <c r="V228">
        <v>146.9</v>
      </c>
      <c r="W228">
        <f t="shared" si="3"/>
        <v>9.1812500000000004</v>
      </c>
    </row>
    <row r="229" spans="1:23" x14ac:dyDescent="0.45">
      <c r="A229" s="1" t="s">
        <v>234</v>
      </c>
      <c r="B229" s="1" t="s">
        <v>228</v>
      </c>
      <c r="C229" s="2">
        <v>4.3000000000000007</v>
      </c>
      <c r="D229" s="2">
        <v>8.1999999999999993</v>
      </c>
      <c r="E229" s="2">
        <v>6.3000000000000007</v>
      </c>
      <c r="F229" s="2">
        <v>5.7</v>
      </c>
      <c r="G229" s="2">
        <v>2</v>
      </c>
      <c r="H229" s="2">
        <v>8.8000000000000007</v>
      </c>
      <c r="I229" s="2">
        <v>12</v>
      </c>
      <c r="J229" s="2">
        <v>11.2</v>
      </c>
      <c r="K229" s="2">
        <v>1</v>
      </c>
      <c r="L229" s="2">
        <v>5.0999999999999996</v>
      </c>
      <c r="M229" s="2">
        <v>15.7</v>
      </c>
      <c r="N229" s="2">
        <v>12.8</v>
      </c>
      <c r="O229" s="2">
        <v>11</v>
      </c>
      <c r="P229" s="2">
        <v>0</v>
      </c>
      <c r="Q229" s="2">
        <v>3.5</v>
      </c>
      <c r="R229" s="2">
        <v>1.7000000000000002</v>
      </c>
      <c r="S229" s="2">
        <v>22.2</v>
      </c>
      <c r="T229" s="2">
        <v>12.9</v>
      </c>
      <c r="U229" s="1">
        <f>COUNTIF(C229:T229,"&gt;"&amp;VLOOKUP(B229,MetaTable,3,FALSE))</f>
        <v>9</v>
      </c>
      <c r="V229">
        <v>144.4</v>
      </c>
      <c r="W229">
        <f t="shared" si="3"/>
        <v>9.0250000000000004</v>
      </c>
    </row>
    <row r="230" spans="1:23" x14ac:dyDescent="0.45">
      <c r="A230" s="1" t="s">
        <v>235</v>
      </c>
      <c r="B230" s="1" t="s">
        <v>228</v>
      </c>
      <c r="C230" s="2">
        <v>4.7</v>
      </c>
      <c r="D230" s="2">
        <v>2.6</v>
      </c>
      <c r="E230" s="2">
        <v>3.4000000000000004</v>
      </c>
      <c r="F230" s="2">
        <v>14.3</v>
      </c>
      <c r="G230" s="2">
        <v>22.8</v>
      </c>
      <c r="H230" s="2">
        <v>2.5</v>
      </c>
      <c r="I230" s="2">
        <v>10.8</v>
      </c>
      <c r="J230" s="2">
        <v>15.3</v>
      </c>
      <c r="K230" s="2">
        <v>5.6000000000000005</v>
      </c>
      <c r="L230" s="2">
        <v>0</v>
      </c>
      <c r="M230" s="2">
        <v>0</v>
      </c>
      <c r="N230" s="2">
        <v>9.6</v>
      </c>
      <c r="O230" s="2">
        <v>10.8</v>
      </c>
      <c r="P230" s="2">
        <v>11.600000000000001</v>
      </c>
      <c r="Q230" s="2">
        <v>4.4000000000000004</v>
      </c>
      <c r="R230" s="2">
        <v>8</v>
      </c>
      <c r="S230" s="2">
        <v>6.3000000000000007</v>
      </c>
      <c r="T230" s="2">
        <v>5.6</v>
      </c>
      <c r="U230" s="1">
        <f>COUNTIF(C230:T230,"&gt;"&amp;VLOOKUP(B230,MetaTable,3,FALSE))</f>
        <v>7</v>
      </c>
      <c r="V230">
        <v>138.30000000000001</v>
      </c>
      <c r="W230">
        <f t="shared" si="3"/>
        <v>8.6437500000000007</v>
      </c>
    </row>
    <row r="231" spans="1:23" x14ac:dyDescent="0.45">
      <c r="A231" s="1" t="s">
        <v>236</v>
      </c>
      <c r="B231" s="1" t="s">
        <v>228</v>
      </c>
      <c r="C231" s="2">
        <v>4.7</v>
      </c>
      <c r="D231" s="2">
        <v>5.9</v>
      </c>
      <c r="E231" s="2">
        <v>5.3000000000000007</v>
      </c>
      <c r="F231" s="2">
        <v>14.2</v>
      </c>
      <c r="G231" s="2">
        <v>7.6999999999999993</v>
      </c>
      <c r="H231" s="2">
        <v>2.6</v>
      </c>
      <c r="I231" s="2">
        <v>6.1000000000000005</v>
      </c>
      <c r="J231" s="2">
        <v>2.9000000000000004</v>
      </c>
      <c r="K231" s="2">
        <v>0</v>
      </c>
      <c r="L231" s="2">
        <v>9.1999999999999993</v>
      </c>
      <c r="M231" s="2">
        <v>2.4000000000000004</v>
      </c>
      <c r="N231" s="2">
        <v>7.9</v>
      </c>
      <c r="O231" s="2">
        <v>15.8</v>
      </c>
      <c r="P231" s="2">
        <v>12.3</v>
      </c>
      <c r="Q231" s="2">
        <v>9.6999999999999993</v>
      </c>
      <c r="R231" s="2">
        <v>3.1</v>
      </c>
      <c r="S231" s="2">
        <v>7.5</v>
      </c>
      <c r="T231" s="2">
        <v>18.5</v>
      </c>
      <c r="U231" s="1">
        <f>COUNTIF(C231:T231,"&gt;"&amp;VLOOKUP(B231,MetaTable,3,FALSE))</f>
        <v>6</v>
      </c>
      <c r="V231">
        <v>135.80000000000001</v>
      </c>
      <c r="W231">
        <f t="shared" si="3"/>
        <v>7.988235294117648</v>
      </c>
    </row>
    <row r="232" spans="1:23" x14ac:dyDescent="0.45">
      <c r="A232" s="1" t="s">
        <v>237</v>
      </c>
      <c r="B232" s="1" t="s">
        <v>228</v>
      </c>
      <c r="C232" s="2">
        <v>6.4</v>
      </c>
      <c r="D232" s="2">
        <v>0</v>
      </c>
      <c r="E232" s="2">
        <v>0</v>
      </c>
      <c r="F232" s="2">
        <v>0</v>
      </c>
      <c r="G232" s="2">
        <v>1.9000000000000001</v>
      </c>
      <c r="H232" s="2">
        <v>5.6</v>
      </c>
      <c r="I232" s="2">
        <v>18.600000000000001</v>
      </c>
      <c r="J232" s="2">
        <v>14.600000000000001</v>
      </c>
      <c r="K232" s="2">
        <v>5.4</v>
      </c>
      <c r="L232" s="2">
        <v>0</v>
      </c>
      <c r="M232" s="2">
        <v>14.6</v>
      </c>
      <c r="N232" s="2">
        <v>3.4</v>
      </c>
      <c r="O232" s="2">
        <v>21.7</v>
      </c>
      <c r="P232" s="2">
        <v>13.7</v>
      </c>
      <c r="Q232" s="2">
        <v>0</v>
      </c>
      <c r="R232" s="2">
        <v>10.600000000000001</v>
      </c>
      <c r="S232" s="2">
        <v>0</v>
      </c>
      <c r="T232" s="2">
        <v>0</v>
      </c>
      <c r="U232" s="1">
        <f>COUNTIF(C232:T232,"&gt;"&amp;VLOOKUP(B232,MetaTable,3,FALSE))</f>
        <v>6</v>
      </c>
      <c r="V232">
        <v>116.5</v>
      </c>
      <c r="W232">
        <f t="shared" si="3"/>
        <v>10.590909090909092</v>
      </c>
    </row>
    <row r="233" spans="1:23" x14ac:dyDescent="0.45">
      <c r="A233" s="1" t="s">
        <v>238</v>
      </c>
      <c r="B233" s="1" t="s">
        <v>228</v>
      </c>
      <c r="C233" s="2">
        <v>1</v>
      </c>
      <c r="D233" s="2">
        <v>-0.4</v>
      </c>
      <c r="E233" s="2">
        <v>6.1999999999999993</v>
      </c>
      <c r="F233" s="2">
        <v>8.1999999999999993</v>
      </c>
      <c r="G233" s="2">
        <v>5.9</v>
      </c>
      <c r="H233" s="2">
        <v>8.5</v>
      </c>
      <c r="I233" s="2">
        <v>14</v>
      </c>
      <c r="J233" s="2">
        <v>24.6</v>
      </c>
      <c r="K233" s="2">
        <v>17.7</v>
      </c>
      <c r="L233" s="2">
        <v>6</v>
      </c>
      <c r="M233" s="2">
        <v>0</v>
      </c>
      <c r="N233" s="2">
        <v>3.5</v>
      </c>
      <c r="O233" s="2">
        <v>4</v>
      </c>
      <c r="P233" s="2">
        <v>8.5</v>
      </c>
      <c r="Q233" s="2">
        <v>3.4000000000000004</v>
      </c>
      <c r="R233" s="2">
        <v>0</v>
      </c>
      <c r="S233" s="2">
        <v>0</v>
      </c>
      <c r="T233" s="2">
        <v>0</v>
      </c>
      <c r="U233" s="1">
        <f>COUNTIF(C233:T233,"&gt;"&amp;VLOOKUP(B233,MetaTable,3,FALSE))</f>
        <v>6</v>
      </c>
      <c r="V233">
        <v>111.1</v>
      </c>
      <c r="W233">
        <f t="shared" si="3"/>
        <v>9.2583333333333329</v>
      </c>
    </row>
    <row r="234" spans="1:23" x14ac:dyDescent="0.45">
      <c r="A234" s="1" t="s">
        <v>239</v>
      </c>
      <c r="B234" s="1" t="s">
        <v>228</v>
      </c>
      <c r="C234" s="2">
        <v>0.9</v>
      </c>
      <c r="D234" s="2">
        <v>4.7</v>
      </c>
      <c r="E234" s="2">
        <v>20.700000000000003</v>
      </c>
      <c r="F234" s="2">
        <v>4.9000000000000004</v>
      </c>
      <c r="G234" s="2">
        <v>7.2</v>
      </c>
      <c r="H234" s="2">
        <v>21.5</v>
      </c>
      <c r="I234" s="2">
        <v>0</v>
      </c>
      <c r="J234" s="2">
        <v>3.9000000000000004</v>
      </c>
      <c r="K234" s="2">
        <v>0</v>
      </c>
      <c r="L234" s="2">
        <v>2.2999999999999998</v>
      </c>
      <c r="M234" s="2">
        <v>5.7</v>
      </c>
      <c r="N234" s="2">
        <v>9.9</v>
      </c>
      <c r="O234" s="2">
        <v>4.0999999999999996</v>
      </c>
      <c r="P234" s="2">
        <v>0</v>
      </c>
      <c r="Q234" s="2">
        <v>1.9000000000000001</v>
      </c>
      <c r="R234" s="2">
        <v>7.9</v>
      </c>
      <c r="S234" s="2">
        <v>0</v>
      </c>
      <c r="T234" s="2">
        <v>1.3</v>
      </c>
      <c r="U234" s="1">
        <f>COUNTIF(C234:T234,"&gt;"&amp;VLOOKUP(B234,MetaTable,3,FALSE))</f>
        <v>3</v>
      </c>
      <c r="V234">
        <v>96.9</v>
      </c>
      <c r="W234">
        <f t="shared" si="3"/>
        <v>7.453846153846154</v>
      </c>
    </row>
    <row r="235" spans="1:23" x14ac:dyDescent="0.45">
      <c r="A235" s="1" t="s">
        <v>240</v>
      </c>
      <c r="B235" s="1" t="s">
        <v>228</v>
      </c>
      <c r="C235" s="2">
        <v>5.2</v>
      </c>
      <c r="D235" s="2">
        <v>0</v>
      </c>
      <c r="E235" s="2">
        <v>1.8</v>
      </c>
      <c r="F235" s="2">
        <v>6</v>
      </c>
      <c r="G235" s="2">
        <v>3.9000000000000004</v>
      </c>
      <c r="H235" s="2">
        <v>0</v>
      </c>
      <c r="I235" s="2">
        <v>8.6000000000000014</v>
      </c>
      <c r="J235" s="2">
        <v>3.8000000000000003</v>
      </c>
      <c r="K235" s="2">
        <v>0</v>
      </c>
      <c r="L235" s="2">
        <v>2.8</v>
      </c>
      <c r="M235" s="2">
        <v>16.3</v>
      </c>
      <c r="N235" s="2">
        <v>20.6</v>
      </c>
      <c r="O235" s="2">
        <v>7.8000000000000007</v>
      </c>
      <c r="P235" s="2">
        <v>4.5999999999999996</v>
      </c>
      <c r="Q235" s="2">
        <v>9.1</v>
      </c>
      <c r="R235" s="2">
        <v>1.5</v>
      </c>
      <c r="S235" s="2">
        <v>1.1000000000000001</v>
      </c>
      <c r="T235" s="2">
        <v>0.19999999999999998</v>
      </c>
      <c r="U235" s="1">
        <f>COUNTIF(C235:T235,"&gt;"&amp;VLOOKUP(B235,MetaTable,3,FALSE))</f>
        <v>4</v>
      </c>
      <c r="V235">
        <v>93.3</v>
      </c>
      <c r="W235">
        <f t="shared" si="3"/>
        <v>6.6642857142857137</v>
      </c>
    </row>
    <row r="236" spans="1:23" x14ac:dyDescent="0.45">
      <c r="A236" s="1" t="s">
        <v>241</v>
      </c>
      <c r="B236" s="1" t="s">
        <v>228</v>
      </c>
      <c r="C236" s="2">
        <v>6.5</v>
      </c>
      <c r="D236" s="2">
        <v>2.2999999999999998</v>
      </c>
      <c r="E236" s="2">
        <v>4.5999999999999996</v>
      </c>
      <c r="F236" s="2">
        <v>7.3000000000000007</v>
      </c>
      <c r="G236" s="2">
        <v>0</v>
      </c>
      <c r="H236" s="2">
        <v>11.7</v>
      </c>
      <c r="I236" s="2">
        <v>3</v>
      </c>
      <c r="J236" s="2">
        <v>13.8</v>
      </c>
      <c r="K236" s="2">
        <v>3.8000000000000003</v>
      </c>
      <c r="L236" s="2">
        <v>14.100000000000001</v>
      </c>
      <c r="M236" s="2">
        <v>0</v>
      </c>
      <c r="N236" s="2">
        <v>3.4000000000000004</v>
      </c>
      <c r="O236" s="2">
        <v>14.1</v>
      </c>
      <c r="P236" s="2">
        <v>7.9</v>
      </c>
      <c r="Q236" s="2">
        <v>14.600000000000001</v>
      </c>
      <c r="R236" s="2">
        <v>12.3</v>
      </c>
      <c r="S236" s="2">
        <v>15.4</v>
      </c>
      <c r="T236" s="2">
        <v>9.8000000000000007</v>
      </c>
      <c r="U236" s="1">
        <f>COUNTIF(C236:T236,"&gt;"&amp;VLOOKUP(B236,MetaTable,3,FALSE))</f>
        <v>8</v>
      </c>
      <c r="V236">
        <v>144.6</v>
      </c>
      <c r="W236">
        <f t="shared" si="3"/>
        <v>9.0374999999999996</v>
      </c>
    </row>
    <row r="237" spans="1:23" x14ac:dyDescent="0.45">
      <c r="A237" s="1" t="s">
        <v>242</v>
      </c>
      <c r="B237" s="1" t="s">
        <v>228</v>
      </c>
      <c r="C237" s="2">
        <v>3.3</v>
      </c>
      <c r="D237" s="2">
        <v>12.6</v>
      </c>
      <c r="E237" s="2">
        <v>6.7</v>
      </c>
      <c r="F237" s="2">
        <v>-0.4</v>
      </c>
      <c r="G237" s="2">
        <v>4.0999999999999996</v>
      </c>
      <c r="H237" s="2">
        <v>0</v>
      </c>
      <c r="I237" s="2">
        <v>0.7</v>
      </c>
      <c r="J237" s="2">
        <v>8.8000000000000007</v>
      </c>
      <c r="K237" s="2">
        <v>24.5</v>
      </c>
      <c r="L237" s="2">
        <v>5</v>
      </c>
      <c r="M237" s="2">
        <v>0</v>
      </c>
      <c r="N237" s="2">
        <v>0</v>
      </c>
      <c r="O237" s="2">
        <v>7.8000000000000007</v>
      </c>
      <c r="P237" s="2">
        <v>3.9000000000000004</v>
      </c>
      <c r="Q237" s="2">
        <v>5.2</v>
      </c>
      <c r="R237" s="2">
        <v>2.4000000000000004</v>
      </c>
      <c r="S237" s="2">
        <v>13.6</v>
      </c>
      <c r="T237" s="2">
        <v>10.8</v>
      </c>
      <c r="U237" s="1">
        <f>COUNTIF(C237:T237,"&gt;"&amp;VLOOKUP(B237,MetaTable,3,FALSE))</f>
        <v>5</v>
      </c>
      <c r="V237">
        <v>109</v>
      </c>
      <c r="W237">
        <f t="shared" si="3"/>
        <v>8.384615384615385</v>
      </c>
    </row>
    <row r="238" spans="1:23" x14ac:dyDescent="0.45">
      <c r="A238" s="1" t="s">
        <v>243</v>
      </c>
      <c r="B238" s="1" t="s">
        <v>228</v>
      </c>
      <c r="C238" s="2">
        <v>10.1</v>
      </c>
      <c r="D238" s="2">
        <v>3.5</v>
      </c>
      <c r="E238" s="2">
        <v>6.9</v>
      </c>
      <c r="F238" s="2">
        <v>0</v>
      </c>
      <c r="G238" s="2">
        <v>12.3</v>
      </c>
      <c r="H238" s="2">
        <v>8.5</v>
      </c>
      <c r="I238" s="2">
        <v>10</v>
      </c>
      <c r="J238" s="2">
        <v>23.1</v>
      </c>
      <c r="K238" s="2">
        <v>1.6</v>
      </c>
      <c r="L238" s="2">
        <v>7.5</v>
      </c>
      <c r="M238" s="2">
        <v>1.4</v>
      </c>
      <c r="N238" s="2">
        <v>0</v>
      </c>
      <c r="O238" s="2">
        <v>0</v>
      </c>
      <c r="P238" s="2">
        <v>1.9000000000000001</v>
      </c>
      <c r="Q238" s="2">
        <v>4.8000000000000007</v>
      </c>
      <c r="R238" s="2">
        <v>1.2000000000000002</v>
      </c>
      <c r="S238" s="2">
        <v>12.4</v>
      </c>
      <c r="T238" s="2">
        <v>2.5</v>
      </c>
      <c r="U238" s="1">
        <f>COUNTIF(C238:T238,"&gt;"&amp;VLOOKUP(B238,MetaTable,3,FALSE))</f>
        <v>6</v>
      </c>
      <c r="V238">
        <v>107.7</v>
      </c>
      <c r="W238">
        <f t="shared" si="3"/>
        <v>7.1800000000000006</v>
      </c>
    </row>
    <row r="239" spans="1:23" x14ac:dyDescent="0.45">
      <c r="A239" s="1" t="s">
        <v>244</v>
      </c>
      <c r="B239" s="1" t="s">
        <v>228</v>
      </c>
      <c r="C239" s="2">
        <v>21.6</v>
      </c>
      <c r="D239" s="2">
        <v>3.6</v>
      </c>
      <c r="E239" s="2">
        <v>0.9</v>
      </c>
      <c r="F239" s="2">
        <v>3.1</v>
      </c>
      <c r="G239" s="2">
        <v>14.8</v>
      </c>
      <c r="H239" s="2">
        <v>3.7</v>
      </c>
      <c r="I239" s="2">
        <v>2.7</v>
      </c>
      <c r="J239" s="2">
        <v>6.7</v>
      </c>
      <c r="K239" s="2">
        <v>0</v>
      </c>
      <c r="L239" s="2">
        <v>0</v>
      </c>
      <c r="M239" s="2">
        <v>7.5</v>
      </c>
      <c r="N239" s="2">
        <v>0</v>
      </c>
      <c r="O239" s="2">
        <v>12.3</v>
      </c>
      <c r="P239" s="2">
        <v>0</v>
      </c>
      <c r="Q239" s="2">
        <v>2.7</v>
      </c>
      <c r="R239" s="2">
        <v>10.4</v>
      </c>
      <c r="S239" s="2">
        <v>7.4</v>
      </c>
      <c r="T239" s="2">
        <v>5.3000000000000007</v>
      </c>
      <c r="U239" s="1">
        <f>COUNTIF(C239:T239,"&gt;"&amp;VLOOKUP(B239,MetaTable,3,FALSE))</f>
        <v>4</v>
      </c>
      <c r="V239">
        <v>102.7</v>
      </c>
      <c r="W239">
        <f t="shared" si="3"/>
        <v>7.9</v>
      </c>
    </row>
    <row r="240" spans="1:23" x14ac:dyDescent="0.45">
      <c r="A240" s="1" t="s">
        <v>245</v>
      </c>
      <c r="B240" s="1" t="s">
        <v>228</v>
      </c>
      <c r="C240" s="2">
        <v>1.1000000000000001</v>
      </c>
      <c r="D240" s="2">
        <v>1.5</v>
      </c>
      <c r="E240" s="2">
        <v>11.8</v>
      </c>
      <c r="F240" s="2">
        <v>3.7</v>
      </c>
      <c r="G240" s="2">
        <v>8.5</v>
      </c>
      <c r="H240" s="2">
        <v>2</v>
      </c>
      <c r="I240" s="2">
        <v>8.6999999999999993</v>
      </c>
      <c r="J240" s="2">
        <v>11.7</v>
      </c>
      <c r="K240" s="2">
        <v>0.19999999999999996</v>
      </c>
      <c r="L240" s="2">
        <v>1.3</v>
      </c>
      <c r="M240" s="2">
        <v>1.2000000000000002</v>
      </c>
      <c r="N240" s="2">
        <v>0</v>
      </c>
      <c r="O240" s="2">
        <v>5.2</v>
      </c>
      <c r="P240" s="2">
        <v>4.8000000000000007</v>
      </c>
      <c r="Q240" s="2">
        <v>0</v>
      </c>
      <c r="R240" s="2">
        <v>8.4</v>
      </c>
      <c r="S240" s="2">
        <v>17.7</v>
      </c>
      <c r="T240" s="2">
        <v>8.6</v>
      </c>
      <c r="U240" s="1">
        <f>COUNTIF(C240:T240,"&gt;"&amp;VLOOKUP(B240,MetaTable,3,FALSE))</f>
        <v>7</v>
      </c>
      <c r="V240">
        <v>96.4</v>
      </c>
      <c r="W240">
        <f t="shared" si="3"/>
        <v>6.4266666666666667</v>
      </c>
    </row>
    <row r="241" spans="1:23" x14ac:dyDescent="0.45">
      <c r="A241" s="1" t="s">
        <v>246</v>
      </c>
      <c r="B241" s="1" t="s">
        <v>228</v>
      </c>
      <c r="C241" s="2">
        <v>4.0999999999999996</v>
      </c>
      <c r="D241" s="2">
        <v>2.4</v>
      </c>
      <c r="E241" s="2">
        <v>0</v>
      </c>
      <c r="F241" s="2">
        <v>14.4</v>
      </c>
      <c r="G241" s="2">
        <v>0</v>
      </c>
      <c r="H241" s="2">
        <v>0</v>
      </c>
      <c r="I241" s="2">
        <v>0</v>
      </c>
      <c r="J241" s="2">
        <v>5.2200000000000006</v>
      </c>
      <c r="K241" s="2">
        <v>14</v>
      </c>
      <c r="L241" s="2">
        <v>6</v>
      </c>
      <c r="M241" s="2">
        <v>37.520000000000003</v>
      </c>
      <c r="N241" s="2">
        <v>0</v>
      </c>
      <c r="O241" s="2">
        <v>7.2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1">
        <f>COUNTIF(C241:T241,"&gt;"&amp;VLOOKUP(B241,MetaTable,3,FALSE))</f>
        <v>3</v>
      </c>
      <c r="V241">
        <v>90.84</v>
      </c>
      <c r="W241">
        <f t="shared" si="3"/>
        <v>11.355</v>
      </c>
    </row>
    <row r="242" spans="1:23" x14ac:dyDescent="0.45">
      <c r="A242" s="1" t="s">
        <v>247</v>
      </c>
      <c r="B242" s="1" t="s">
        <v>228</v>
      </c>
      <c r="C242" s="2">
        <v>1.8</v>
      </c>
      <c r="D242" s="2">
        <v>4.4000000000000004</v>
      </c>
      <c r="E242" s="2">
        <v>3.4000000000000004</v>
      </c>
      <c r="F242" s="2">
        <v>3.4000000000000004</v>
      </c>
      <c r="G242" s="2">
        <v>0</v>
      </c>
      <c r="H242" s="2">
        <v>4.5999999999999996</v>
      </c>
      <c r="I242" s="2">
        <v>12.1</v>
      </c>
      <c r="J242" s="2">
        <v>6.6000000000000005</v>
      </c>
      <c r="K242" s="2">
        <v>1.9</v>
      </c>
      <c r="L242" s="2">
        <v>5.5</v>
      </c>
      <c r="M242" s="2">
        <v>16</v>
      </c>
      <c r="N242" s="2">
        <v>6.7</v>
      </c>
      <c r="O242" s="2">
        <v>0</v>
      </c>
      <c r="P242" s="2">
        <v>2.9000000000000004</v>
      </c>
      <c r="Q242" s="2">
        <v>0</v>
      </c>
      <c r="R242" s="2">
        <v>0</v>
      </c>
      <c r="S242" s="2">
        <v>3.1</v>
      </c>
      <c r="T242" s="2">
        <v>12.7</v>
      </c>
      <c r="U242" s="1">
        <f>COUNTIF(C242:T242,"&gt;"&amp;VLOOKUP(B242,MetaTable,3,FALSE))</f>
        <v>3</v>
      </c>
      <c r="V242">
        <v>85.1</v>
      </c>
      <c r="W242">
        <f t="shared" si="3"/>
        <v>6.0785714285714283</v>
      </c>
    </row>
    <row r="243" spans="1:23" x14ac:dyDescent="0.45">
      <c r="A243" s="1" t="s">
        <v>248</v>
      </c>
      <c r="B243" s="1" t="s">
        <v>228</v>
      </c>
      <c r="C243" s="2">
        <v>5.0999999999999996</v>
      </c>
      <c r="D243" s="2">
        <v>5.3000000000000007</v>
      </c>
      <c r="E243" s="2">
        <v>22</v>
      </c>
      <c r="F243" s="2">
        <v>9.6999999999999993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9.5</v>
      </c>
      <c r="M243" s="2">
        <v>8.6000000000000014</v>
      </c>
      <c r="N243" s="2">
        <v>3.9000000000000004</v>
      </c>
      <c r="O243" s="2">
        <v>11</v>
      </c>
      <c r="P243" s="2">
        <v>0</v>
      </c>
      <c r="Q243" s="2">
        <v>0</v>
      </c>
      <c r="R243" s="2">
        <v>0</v>
      </c>
      <c r="S243" s="2">
        <v>0</v>
      </c>
      <c r="T243" s="2">
        <v>7.5</v>
      </c>
      <c r="U243" s="1">
        <f>COUNTIF(C243:T243,"&gt;"&amp;VLOOKUP(B243,MetaTable,3,FALSE))</f>
        <v>5</v>
      </c>
      <c r="V243">
        <v>82.6</v>
      </c>
      <c r="W243">
        <f t="shared" si="3"/>
        <v>9.1777777777777771</v>
      </c>
    </row>
    <row r="244" spans="1:23" x14ac:dyDescent="0.45">
      <c r="A244" s="1" t="s">
        <v>249</v>
      </c>
      <c r="B244" s="1" t="s">
        <v>228</v>
      </c>
      <c r="C244" s="2">
        <v>0</v>
      </c>
      <c r="D244" s="2">
        <v>0</v>
      </c>
      <c r="E244" s="2">
        <v>1.8</v>
      </c>
      <c r="F244" s="2">
        <v>0</v>
      </c>
      <c r="G244" s="2">
        <v>2.4000000000000004</v>
      </c>
      <c r="H244" s="2">
        <v>0</v>
      </c>
      <c r="I244" s="2">
        <v>0</v>
      </c>
      <c r="J244" s="2">
        <v>16.5</v>
      </c>
      <c r="K244" s="2">
        <v>0.9</v>
      </c>
      <c r="L244" s="2">
        <v>3.9000000000000004</v>
      </c>
      <c r="M244" s="2">
        <v>0</v>
      </c>
      <c r="N244" s="2">
        <v>0.8</v>
      </c>
      <c r="O244" s="2">
        <v>0</v>
      </c>
      <c r="P244" s="2">
        <v>0</v>
      </c>
      <c r="Q244" s="2">
        <v>9</v>
      </c>
      <c r="R244" s="2">
        <v>1</v>
      </c>
      <c r="S244" s="2">
        <v>1</v>
      </c>
      <c r="T244" s="2">
        <v>0</v>
      </c>
      <c r="U244" s="1">
        <f>COUNTIF(C244:T244,"&gt;"&amp;VLOOKUP(B244,MetaTable,3,FALSE))</f>
        <v>2</v>
      </c>
      <c r="V244">
        <v>37.299999999999997</v>
      </c>
      <c r="W244">
        <f t="shared" si="3"/>
        <v>7.4599999999999991</v>
      </c>
    </row>
    <row r="245" spans="1:23" x14ac:dyDescent="0.45">
      <c r="A245" s="1" t="s">
        <v>250</v>
      </c>
      <c r="B245" s="1" t="s">
        <v>228</v>
      </c>
      <c r="C245" s="2">
        <v>2.8</v>
      </c>
      <c r="D245" s="2">
        <v>14.9</v>
      </c>
      <c r="E245" s="2">
        <v>1.9</v>
      </c>
      <c r="F245" s="2">
        <v>2.2000000000000002</v>
      </c>
      <c r="G245" s="2">
        <v>4.2</v>
      </c>
      <c r="H245" s="2">
        <v>11.600000000000001</v>
      </c>
      <c r="I245" s="2">
        <v>13.200000000000001</v>
      </c>
      <c r="J245" s="2">
        <v>7</v>
      </c>
      <c r="K245" s="2">
        <v>9.1000000000000014</v>
      </c>
      <c r="L245" s="2">
        <v>1.9000000000000001</v>
      </c>
      <c r="M245" s="2">
        <v>9.3000000000000007</v>
      </c>
      <c r="N245" s="2">
        <v>6.9</v>
      </c>
      <c r="O245" s="2">
        <v>11</v>
      </c>
      <c r="P245" s="2">
        <v>0</v>
      </c>
      <c r="Q245" s="2">
        <v>4.5</v>
      </c>
      <c r="R245" s="2">
        <v>11.9</v>
      </c>
      <c r="S245" s="2">
        <v>0</v>
      </c>
      <c r="T245" s="2">
        <v>0</v>
      </c>
      <c r="U245" s="1">
        <f>COUNTIF(C245:T245,"&gt;"&amp;VLOOKUP(B245,MetaTable,3,FALSE))</f>
        <v>7</v>
      </c>
      <c r="V245">
        <v>112.4</v>
      </c>
      <c r="W245">
        <f t="shared" si="3"/>
        <v>7.4933333333333341</v>
      </c>
    </row>
    <row r="246" spans="1:23" x14ac:dyDescent="0.45">
      <c r="A246" s="1" t="s">
        <v>251</v>
      </c>
      <c r="B246" s="1" t="s">
        <v>228</v>
      </c>
      <c r="C246" s="2">
        <v>9.6</v>
      </c>
      <c r="D246" s="2">
        <v>0</v>
      </c>
      <c r="E246" s="2">
        <v>0</v>
      </c>
      <c r="F246" s="2">
        <v>2.2999999999999998</v>
      </c>
      <c r="G246" s="2">
        <v>5.6</v>
      </c>
      <c r="H246" s="2">
        <v>6.3000000000000007</v>
      </c>
      <c r="I246" s="2">
        <v>3.3</v>
      </c>
      <c r="J246" s="2">
        <v>6.3000000000000007</v>
      </c>
      <c r="K246" s="2">
        <v>5.1000000000000005</v>
      </c>
      <c r="L246" s="2">
        <v>3.2</v>
      </c>
      <c r="M246" s="2">
        <v>10.5</v>
      </c>
      <c r="N246" s="2">
        <v>0</v>
      </c>
      <c r="O246" s="2">
        <v>6.1</v>
      </c>
      <c r="P246" s="2">
        <v>13</v>
      </c>
      <c r="Q246" s="2">
        <v>2.2000000000000002</v>
      </c>
      <c r="R246" s="2">
        <v>3.7</v>
      </c>
      <c r="S246" s="2">
        <v>9.6000000000000014</v>
      </c>
      <c r="T246" s="2">
        <v>11</v>
      </c>
      <c r="U246" s="1">
        <f>COUNTIF(C246:T246,"&gt;"&amp;VLOOKUP(B246,MetaTable,3,FALSE))</f>
        <v>5</v>
      </c>
      <c r="V246">
        <v>97.8</v>
      </c>
      <c r="W246">
        <f t="shared" si="3"/>
        <v>6.52</v>
      </c>
    </row>
    <row r="247" spans="1:23" x14ac:dyDescent="0.45">
      <c r="A247" s="1" t="s">
        <v>252</v>
      </c>
      <c r="B247" s="1" t="s">
        <v>228</v>
      </c>
      <c r="C247" s="2">
        <v>3.1</v>
      </c>
      <c r="D247" s="2">
        <v>3.1</v>
      </c>
      <c r="E247" s="2">
        <v>2.1</v>
      </c>
      <c r="F247" s="2">
        <v>4.9000000000000004</v>
      </c>
      <c r="G247" s="2">
        <v>5.4</v>
      </c>
      <c r="H247" s="2">
        <v>4.7</v>
      </c>
      <c r="I247" s="2">
        <v>3.3000000000000003</v>
      </c>
      <c r="J247" s="2">
        <v>7.2</v>
      </c>
      <c r="K247" s="2">
        <v>3.6</v>
      </c>
      <c r="L247" s="2">
        <v>8.1000000000000014</v>
      </c>
      <c r="M247" s="2">
        <v>5.8000000000000007</v>
      </c>
      <c r="N247" s="2">
        <v>3</v>
      </c>
      <c r="O247" s="2">
        <v>14.600000000000001</v>
      </c>
      <c r="P247" s="2">
        <v>0</v>
      </c>
      <c r="Q247" s="2">
        <v>2.2999999999999998</v>
      </c>
      <c r="R247" s="2">
        <v>13</v>
      </c>
      <c r="S247" s="2">
        <v>3.1</v>
      </c>
      <c r="T247" s="2">
        <v>4.4000000000000004</v>
      </c>
      <c r="U247" s="1">
        <f>COUNTIF(C247:T247,"&gt;"&amp;VLOOKUP(B247,MetaTable,3,FALSE))</f>
        <v>3</v>
      </c>
      <c r="V247">
        <v>91.7</v>
      </c>
      <c r="W247">
        <f t="shared" si="3"/>
        <v>5.3941176470588239</v>
      </c>
    </row>
    <row r="248" spans="1:23" x14ac:dyDescent="0.45">
      <c r="A248" s="1" t="s">
        <v>253</v>
      </c>
      <c r="B248" s="1" t="s">
        <v>228</v>
      </c>
      <c r="C248" s="2">
        <v>8.5</v>
      </c>
      <c r="D248" s="2">
        <v>3.1</v>
      </c>
      <c r="E248" s="2">
        <v>2.5</v>
      </c>
      <c r="F248" s="2">
        <v>1</v>
      </c>
      <c r="G248" s="2">
        <v>0</v>
      </c>
      <c r="H248" s="2">
        <v>2.1</v>
      </c>
      <c r="I248" s="2">
        <v>7</v>
      </c>
      <c r="J248" s="2">
        <v>0.40000000000000036</v>
      </c>
      <c r="K248" s="2">
        <v>5.3000000000000007</v>
      </c>
      <c r="L248" s="2">
        <v>1.9000000000000001</v>
      </c>
      <c r="M248" s="2">
        <v>2.9000000000000004</v>
      </c>
      <c r="N248" s="2">
        <v>13.5</v>
      </c>
      <c r="O248" s="2">
        <v>4.2</v>
      </c>
      <c r="P248" s="2">
        <v>2.2999999999999998</v>
      </c>
      <c r="Q248" s="2">
        <v>9.9</v>
      </c>
      <c r="R248" s="2">
        <v>14.6</v>
      </c>
      <c r="S248" s="2">
        <v>8.4</v>
      </c>
      <c r="T248" s="2">
        <v>0</v>
      </c>
      <c r="U248" s="1">
        <f>COUNTIF(C248:T248,"&gt;"&amp;VLOOKUP(B248,MetaTable,3,FALSE))</f>
        <v>5</v>
      </c>
      <c r="V248">
        <v>87.6</v>
      </c>
      <c r="W248">
        <f t="shared" si="3"/>
        <v>6.2571428571428571</v>
      </c>
    </row>
    <row r="249" spans="1:23" x14ac:dyDescent="0.45">
      <c r="A249" s="1" t="s">
        <v>254</v>
      </c>
      <c r="B249" s="1" t="s">
        <v>228</v>
      </c>
      <c r="C249" s="2">
        <v>12.3</v>
      </c>
      <c r="D249" s="2">
        <v>0</v>
      </c>
      <c r="E249" s="2">
        <v>0.7</v>
      </c>
      <c r="F249" s="2">
        <v>0</v>
      </c>
      <c r="G249" s="2">
        <v>8.3000000000000007</v>
      </c>
      <c r="H249" s="2">
        <v>6.4</v>
      </c>
      <c r="I249" s="2">
        <v>4.8000000000000007</v>
      </c>
      <c r="J249" s="2">
        <v>0</v>
      </c>
      <c r="K249" s="2">
        <v>8.1999999999999993</v>
      </c>
      <c r="L249" s="2">
        <v>0</v>
      </c>
      <c r="M249" s="2">
        <v>6.5</v>
      </c>
      <c r="N249" s="2">
        <v>0</v>
      </c>
      <c r="O249" s="2">
        <v>1.6</v>
      </c>
      <c r="P249" s="2">
        <v>5</v>
      </c>
      <c r="Q249" s="2">
        <v>11.9</v>
      </c>
      <c r="R249" s="2">
        <v>4.3000000000000007</v>
      </c>
      <c r="S249" s="2">
        <v>12.2</v>
      </c>
      <c r="T249" s="2">
        <v>5.0999999999999996</v>
      </c>
      <c r="U249" s="1">
        <f>COUNTIF(C249:T249,"&gt;"&amp;VLOOKUP(B249,MetaTable,3,FALSE))</f>
        <v>5</v>
      </c>
      <c r="V249">
        <v>87.3</v>
      </c>
      <c r="W249">
        <f t="shared" si="3"/>
        <v>7.2749999999999995</v>
      </c>
    </row>
    <row r="250" spans="1:23" x14ac:dyDescent="0.45">
      <c r="A250" s="1" t="s">
        <v>255</v>
      </c>
      <c r="B250" s="1" t="s">
        <v>228</v>
      </c>
      <c r="C250" s="2">
        <v>4.0999999999999996</v>
      </c>
      <c r="D250" s="2">
        <v>1</v>
      </c>
      <c r="E250" s="2">
        <v>2.4000000000000004</v>
      </c>
      <c r="F250" s="2">
        <v>8.3000000000000007</v>
      </c>
      <c r="G250" s="2">
        <v>1.4</v>
      </c>
      <c r="H250" s="2">
        <v>-1</v>
      </c>
      <c r="I250" s="2">
        <v>5.2</v>
      </c>
      <c r="J250" s="2">
        <v>3</v>
      </c>
      <c r="K250" s="2">
        <v>1.3</v>
      </c>
      <c r="L250" s="2">
        <v>7.9</v>
      </c>
      <c r="M250" s="2">
        <v>5.5</v>
      </c>
      <c r="N250" s="2">
        <v>13.9</v>
      </c>
      <c r="O250" s="2">
        <v>12.2</v>
      </c>
      <c r="P250" s="2">
        <v>0</v>
      </c>
      <c r="Q250" s="2">
        <v>5.3000000000000007</v>
      </c>
      <c r="R250" s="2">
        <v>7.5</v>
      </c>
      <c r="S250" s="2">
        <v>3.4000000000000004</v>
      </c>
      <c r="T250" s="2">
        <v>4.7</v>
      </c>
      <c r="U250" s="1">
        <f>COUNTIF(C250:T250,"&gt;"&amp;VLOOKUP(B250,MetaTable,3,FALSE))</f>
        <v>3</v>
      </c>
      <c r="V250">
        <v>86.1</v>
      </c>
      <c r="W250">
        <f t="shared" si="3"/>
        <v>5.7399999999999993</v>
      </c>
    </row>
    <row r="251" spans="1:23" x14ac:dyDescent="0.45">
      <c r="A251" s="1" t="s">
        <v>256</v>
      </c>
      <c r="B251" s="1" t="s">
        <v>228</v>
      </c>
      <c r="C251" s="2">
        <v>2.1</v>
      </c>
      <c r="D251" s="2">
        <v>1.9000000000000001</v>
      </c>
      <c r="E251" s="2">
        <v>9</v>
      </c>
      <c r="F251" s="2">
        <v>3.6</v>
      </c>
      <c r="G251" s="2">
        <v>3.9000000000000004</v>
      </c>
      <c r="H251" s="2">
        <v>9.3000000000000007</v>
      </c>
      <c r="I251" s="2">
        <v>8.5</v>
      </c>
      <c r="J251" s="2">
        <v>3.7</v>
      </c>
      <c r="K251" s="2">
        <v>0</v>
      </c>
      <c r="L251" s="2">
        <v>0</v>
      </c>
      <c r="M251" s="2">
        <v>0</v>
      </c>
      <c r="N251" s="2">
        <v>0</v>
      </c>
      <c r="O251" s="2">
        <v>4.0999999999999996</v>
      </c>
      <c r="P251" s="2">
        <v>3.3</v>
      </c>
      <c r="Q251" s="2">
        <v>3</v>
      </c>
      <c r="R251" s="2">
        <v>6.5</v>
      </c>
      <c r="S251" s="2">
        <v>6.3</v>
      </c>
      <c r="T251" s="2">
        <v>14.8</v>
      </c>
      <c r="U251" s="1">
        <f>COUNTIF(C251:T251,"&gt;"&amp;VLOOKUP(B251,MetaTable,3,FALSE))</f>
        <v>4</v>
      </c>
      <c r="V251">
        <v>80</v>
      </c>
      <c r="W251">
        <f t="shared" si="3"/>
        <v>5.7142857142857144</v>
      </c>
    </row>
    <row r="252" spans="1:23" x14ac:dyDescent="0.45">
      <c r="A252" s="1" t="s">
        <v>257</v>
      </c>
      <c r="B252" s="1" t="s">
        <v>228</v>
      </c>
      <c r="C252" s="2">
        <v>1.6</v>
      </c>
      <c r="D252" s="2">
        <v>5.3000000000000007</v>
      </c>
      <c r="E252" s="2">
        <v>11.600000000000001</v>
      </c>
      <c r="F252" s="2">
        <v>7.2</v>
      </c>
      <c r="G252" s="2">
        <v>4.4000000000000004</v>
      </c>
      <c r="H252" s="2">
        <v>8.1000000000000014</v>
      </c>
      <c r="I252" s="2">
        <v>6.7</v>
      </c>
      <c r="J252" s="2">
        <v>11.1</v>
      </c>
      <c r="K252" s="2">
        <v>5.2</v>
      </c>
      <c r="L252" s="2">
        <v>3.4000000000000004</v>
      </c>
      <c r="M252" s="2">
        <v>0</v>
      </c>
      <c r="N252" s="2">
        <v>0</v>
      </c>
      <c r="O252" s="2">
        <v>0</v>
      </c>
      <c r="P252" s="2">
        <v>0</v>
      </c>
      <c r="Q252" s="2">
        <v>7.3000000000000007</v>
      </c>
      <c r="R252" s="2">
        <v>3.5</v>
      </c>
      <c r="S252" s="2">
        <v>3.4000000000000004</v>
      </c>
      <c r="T252" s="2">
        <v>0</v>
      </c>
      <c r="U252" s="1">
        <f>COUNTIF(C252:T252,"&gt;"&amp;VLOOKUP(B252,MetaTable,3,FALSE))</f>
        <v>3</v>
      </c>
      <c r="V252">
        <v>78.8</v>
      </c>
      <c r="W252">
        <f t="shared" si="3"/>
        <v>6.0615384615384613</v>
      </c>
    </row>
    <row r="253" spans="1:23" x14ac:dyDescent="0.45">
      <c r="A253" s="1" t="s">
        <v>258</v>
      </c>
      <c r="B253" s="1" t="s">
        <v>228</v>
      </c>
      <c r="C253" s="2">
        <v>3</v>
      </c>
      <c r="D253" s="2">
        <v>0</v>
      </c>
      <c r="E253" s="2">
        <v>12.5</v>
      </c>
      <c r="F253" s="2">
        <v>8.4</v>
      </c>
      <c r="G253" s="2">
        <v>10</v>
      </c>
      <c r="H253" s="2">
        <v>2.6</v>
      </c>
      <c r="I253" s="2">
        <v>0</v>
      </c>
      <c r="J253" s="2">
        <v>5.3000000000000007</v>
      </c>
      <c r="K253" s="2">
        <v>10.600000000000001</v>
      </c>
      <c r="L253" s="2">
        <v>2.4000000000000004</v>
      </c>
      <c r="M253" s="2">
        <v>1.6</v>
      </c>
      <c r="N253" s="2">
        <v>0</v>
      </c>
      <c r="O253" s="2">
        <v>0</v>
      </c>
      <c r="P253" s="2">
        <v>4.7</v>
      </c>
      <c r="Q253" s="2">
        <v>3.3000000000000003</v>
      </c>
      <c r="R253" s="2">
        <v>7</v>
      </c>
      <c r="S253" s="2">
        <v>1.2999999999999998</v>
      </c>
      <c r="T253" s="2">
        <v>2.2000000000000002</v>
      </c>
      <c r="U253" s="1">
        <f>COUNTIF(C253:T253,"&gt;"&amp;VLOOKUP(B253,MetaTable,3,FALSE))</f>
        <v>4</v>
      </c>
      <c r="V253">
        <v>74.900000000000006</v>
      </c>
      <c r="W253">
        <f t="shared" si="3"/>
        <v>5.3500000000000005</v>
      </c>
    </row>
    <row r="254" spans="1:23" x14ac:dyDescent="0.45">
      <c r="A254" s="1" t="s">
        <v>259</v>
      </c>
      <c r="B254" s="1" t="s">
        <v>228</v>
      </c>
      <c r="C254" s="2">
        <v>0</v>
      </c>
      <c r="D254" s="2">
        <v>8</v>
      </c>
      <c r="E254" s="2">
        <v>8.1999999999999993</v>
      </c>
      <c r="F254" s="2">
        <v>3.4000000000000004</v>
      </c>
      <c r="G254" s="2">
        <v>10.4</v>
      </c>
      <c r="H254" s="2">
        <v>1.6</v>
      </c>
      <c r="I254" s="2">
        <v>0</v>
      </c>
      <c r="J254" s="2">
        <v>8.4</v>
      </c>
      <c r="K254" s="2">
        <v>0</v>
      </c>
      <c r="L254" s="2">
        <v>3.5</v>
      </c>
      <c r="M254" s="2">
        <v>1.1000000000000001</v>
      </c>
      <c r="N254" s="2">
        <v>0</v>
      </c>
      <c r="O254" s="2">
        <v>1.9000000000000001</v>
      </c>
      <c r="P254" s="2">
        <v>2.6</v>
      </c>
      <c r="Q254" s="2">
        <v>12.8</v>
      </c>
      <c r="R254" s="2">
        <v>1.2000000000000002</v>
      </c>
      <c r="S254" s="2">
        <v>0</v>
      </c>
      <c r="T254" s="2">
        <v>8</v>
      </c>
      <c r="U254" s="1">
        <f>COUNTIF(C254:T254,"&gt;"&amp;VLOOKUP(B254,MetaTable,3,FALSE))</f>
        <v>4</v>
      </c>
      <c r="V254">
        <v>71.099999999999994</v>
      </c>
      <c r="W254">
        <f t="shared" si="3"/>
        <v>5.4692307692307685</v>
      </c>
    </row>
    <row r="255" spans="1:23" x14ac:dyDescent="0.45">
      <c r="A255" s="1" t="s">
        <v>260</v>
      </c>
      <c r="B255" s="1" t="s">
        <v>228</v>
      </c>
      <c r="C255" s="2">
        <v>4.2</v>
      </c>
      <c r="D255" s="2">
        <v>1.5</v>
      </c>
      <c r="E255" s="2">
        <v>4.9000000000000004</v>
      </c>
      <c r="F255" s="2">
        <v>1.5</v>
      </c>
      <c r="G255" s="2">
        <v>9.6999999999999993</v>
      </c>
      <c r="H255" s="2">
        <v>0</v>
      </c>
      <c r="I255" s="2">
        <v>6.2</v>
      </c>
      <c r="J255" s="2">
        <v>0</v>
      </c>
      <c r="K255" s="2">
        <v>4.7</v>
      </c>
      <c r="L255" s="2">
        <v>0</v>
      </c>
      <c r="M255" s="2">
        <v>2.4000000000000004</v>
      </c>
      <c r="N255" s="2">
        <v>5.3000000000000007</v>
      </c>
      <c r="O255" s="2">
        <v>0</v>
      </c>
      <c r="P255" s="2">
        <v>1.9000000000000001</v>
      </c>
      <c r="Q255" s="2">
        <v>4.5</v>
      </c>
      <c r="R255" s="2">
        <v>1.3</v>
      </c>
      <c r="S255" s="2">
        <v>7.9</v>
      </c>
      <c r="T255" s="2">
        <v>15</v>
      </c>
      <c r="U255" s="1">
        <f>COUNTIF(C255:T255,"&gt;"&amp;VLOOKUP(B255,MetaTable,3,FALSE))</f>
        <v>2</v>
      </c>
      <c r="V255">
        <v>71</v>
      </c>
      <c r="W255">
        <f t="shared" si="3"/>
        <v>5.0714285714285712</v>
      </c>
    </row>
    <row r="256" spans="1:23" x14ac:dyDescent="0.45">
      <c r="A256" s="1" t="s">
        <v>261</v>
      </c>
      <c r="B256" s="1" t="s">
        <v>228</v>
      </c>
      <c r="C256" s="2">
        <v>1</v>
      </c>
      <c r="D256" s="2">
        <v>0</v>
      </c>
      <c r="E256" s="2">
        <v>0</v>
      </c>
      <c r="F256" s="2">
        <v>0</v>
      </c>
      <c r="G256" s="2">
        <v>0</v>
      </c>
      <c r="H256" s="2">
        <v>13.200000000000001</v>
      </c>
      <c r="I256" s="2">
        <v>6</v>
      </c>
      <c r="J256" s="2">
        <v>11.6</v>
      </c>
      <c r="K256" s="2">
        <v>9</v>
      </c>
      <c r="L256" s="2">
        <v>7</v>
      </c>
      <c r="M256" s="2">
        <v>5.3000000000000007</v>
      </c>
      <c r="N256" s="2">
        <v>0</v>
      </c>
      <c r="O256" s="2">
        <v>7.6000000000000005</v>
      </c>
      <c r="P256" s="2">
        <v>5.3000000000000007</v>
      </c>
      <c r="Q256" s="2">
        <v>0</v>
      </c>
      <c r="R256" s="2">
        <v>0</v>
      </c>
      <c r="S256" s="2">
        <v>0</v>
      </c>
      <c r="T256" s="2">
        <v>0</v>
      </c>
      <c r="U256" s="1">
        <f>COUNTIF(C256:T256,"&gt;"&amp;VLOOKUP(B256,MetaTable,3,FALSE))</f>
        <v>3</v>
      </c>
      <c r="V256">
        <v>66</v>
      </c>
      <c r="W256">
        <f t="shared" si="3"/>
        <v>8.25</v>
      </c>
    </row>
    <row r="257" spans="1:23" x14ac:dyDescent="0.45">
      <c r="A257" s="1" t="s">
        <v>262</v>
      </c>
      <c r="B257" s="1" t="s">
        <v>228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4.2</v>
      </c>
      <c r="L257" s="2">
        <v>11.2</v>
      </c>
      <c r="M257" s="2">
        <v>2.2999999999999998</v>
      </c>
      <c r="N257" s="2">
        <v>14.9</v>
      </c>
      <c r="O257" s="2">
        <v>4.3000000000000007</v>
      </c>
      <c r="P257" s="2">
        <v>6.5</v>
      </c>
      <c r="Q257" s="2">
        <v>7.7</v>
      </c>
      <c r="R257" s="2">
        <v>3.7</v>
      </c>
      <c r="S257" s="2">
        <v>9.3000000000000007</v>
      </c>
      <c r="T257" s="2">
        <v>1.9</v>
      </c>
      <c r="U257" s="1">
        <f>COUNTIF(C257:T257,"&gt;"&amp;VLOOKUP(B257,MetaTable,3,FALSE))</f>
        <v>3</v>
      </c>
      <c r="V257">
        <v>66</v>
      </c>
      <c r="W257">
        <f t="shared" si="3"/>
        <v>6.6</v>
      </c>
    </row>
    <row r="258" spans="1:23" x14ac:dyDescent="0.45">
      <c r="A258" s="1" t="s">
        <v>263</v>
      </c>
      <c r="B258" s="1" t="s">
        <v>228</v>
      </c>
      <c r="C258" s="2">
        <v>0</v>
      </c>
      <c r="D258" s="2">
        <v>0</v>
      </c>
      <c r="E258" s="2">
        <v>2.8</v>
      </c>
      <c r="F258" s="2">
        <v>9.6999999999999993</v>
      </c>
      <c r="G258" s="2">
        <v>1.8</v>
      </c>
      <c r="H258" s="2">
        <v>1.8</v>
      </c>
      <c r="I258" s="2">
        <v>1</v>
      </c>
      <c r="J258" s="2">
        <v>4.4000000000000004</v>
      </c>
      <c r="K258" s="2">
        <v>4.7</v>
      </c>
      <c r="L258" s="2">
        <v>0</v>
      </c>
      <c r="M258" s="2">
        <v>2.5</v>
      </c>
      <c r="N258" s="2">
        <v>3.4000000000000004</v>
      </c>
      <c r="O258" s="2">
        <v>8.4</v>
      </c>
      <c r="P258" s="2">
        <v>1.8</v>
      </c>
      <c r="Q258" s="2">
        <v>1</v>
      </c>
      <c r="R258" s="2">
        <v>8.3000000000000007</v>
      </c>
      <c r="S258" s="2">
        <v>0</v>
      </c>
      <c r="T258" s="2">
        <v>11.9</v>
      </c>
      <c r="U258" s="1">
        <f>COUNTIF(C258:T258,"&gt;"&amp;VLOOKUP(B258,MetaTable,3,FALSE))</f>
        <v>4</v>
      </c>
      <c r="V258">
        <v>63.5</v>
      </c>
      <c r="W258">
        <f t="shared" si="3"/>
        <v>5.291666666666667</v>
      </c>
    </row>
    <row r="259" spans="1:23" x14ac:dyDescent="0.45">
      <c r="A259" s="1" t="s">
        <v>264</v>
      </c>
      <c r="B259" s="1" t="s">
        <v>228</v>
      </c>
      <c r="C259" s="2">
        <v>0.9</v>
      </c>
      <c r="D259" s="2">
        <v>1.8</v>
      </c>
      <c r="E259" s="2">
        <v>0</v>
      </c>
      <c r="F259" s="2">
        <v>2.6</v>
      </c>
      <c r="G259" s="2">
        <v>2.8</v>
      </c>
      <c r="H259" s="2">
        <v>7.4</v>
      </c>
      <c r="I259" s="2">
        <v>9.1000000000000014</v>
      </c>
      <c r="J259" s="2">
        <v>1.2000000000000002</v>
      </c>
      <c r="K259" s="2">
        <v>10.700000000000001</v>
      </c>
      <c r="L259" s="2">
        <v>7.8</v>
      </c>
      <c r="M259" s="2">
        <v>0</v>
      </c>
      <c r="N259" s="2">
        <v>6.4</v>
      </c>
      <c r="O259" s="2">
        <v>0</v>
      </c>
      <c r="P259" s="2">
        <v>0</v>
      </c>
      <c r="Q259" s="2">
        <v>0</v>
      </c>
      <c r="R259" s="2">
        <v>0</v>
      </c>
      <c r="S259" s="2">
        <v>1</v>
      </c>
      <c r="T259" s="2">
        <v>5</v>
      </c>
      <c r="U259" s="1">
        <f>COUNTIF(C259:T259,"&gt;"&amp;VLOOKUP(B259,MetaTable,3,FALSE))</f>
        <v>2</v>
      </c>
      <c r="V259">
        <v>56.7</v>
      </c>
      <c r="W259">
        <f t="shared" ref="W259:W322" si="4">V259/MAX(1,COUNTIF(C259:T259,"&gt;1"))</f>
        <v>5.67</v>
      </c>
    </row>
    <row r="260" spans="1:23" x14ac:dyDescent="0.45">
      <c r="A260" s="1" t="s">
        <v>265</v>
      </c>
      <c r="B260" s="1" t="s">
        <v>228</v>
      </c>
      <c r="C260" s="2">
        <v>3.7</v>
      </c>
      <c r="D260" s="2">
        <v>0</v>
      </c>
      <c r="E260" s="2">
        <v>0</v>
      </c>
      <c r="F260" s="2">
        <v>8</v>
      </c>
      <c r="G260" s="2">
        <v>0</v>
      </c>
      <c r="H260" s="2">
        <v>0</v>
      </c>
      <c r="I260" s="2">
        <v>1</v>
      </c>
      <c r="J260" s="2">
        <v>10</v>
      </c>
      <c r="K260" s="2">
        <v>14.3</v>
      </c>
      <c r="L260" s="2">
        <v>7.2</v>
      </c>
      <c r="M260" s="2">
        <v>4.9000000000000004</v>
      </c>
      <c r="N260" s="2">
        <v>0</v>
      </c>
      <c r="O260" s="2">
        <v>0</v>
      </c>
      <c r="P260" s="2">
        <v>3.1</v>
      </c>
      <c r="Q260" s="2">
        <v>0</v>
      </c>
      <c r="R260" s="2">
        <v>0</v>
      </c>
      <c r="S260" s="2">
        <v>0</v>
      </c>
      <c r="T260" s="2">
        <v>2.6</v>
      </c>
      <c r="U260" s="1">
        <f>COUNTIF(C260:T260,"&gt;"&amp;VLOOKUP(B260,MetaTable,3,FALSE))</f>
        <v>2</v>
      </c>
      <c r="V260">
        <v>54.8</v>
      </c>
      <c r="W260">
        <f t="shared" si="4"/>
        <v>6.85</v>
      </c>
    </row>
    <row r="261" spans="1:23" x14ac:dyDescent="0.45">
      <c r="A261" s="1" t="s">
        <v>266</v>
      </c>
      <c r="B261" s="1" t="s">
        <v>228</v>
      </c>
      <c r="C261" s="2">
        <v>2.2999999999999998</v>
      </c>
      <c r="D261" s="2">
        <v>0</v>
      </c>
      <c r="E261" s="2">
        <v>1.8</v>
      </c>
      <c r="F261" s="2">
        <v>1.1000000000000001</v>
      </c>
      <c r="G261" s="2">
        <v>7.3000000000000007</v>
      </c>
      <c r="H261" s="2">
        <v>4.5</v>
      </c>
      <c r="I261" s="2">
        <v>0</v>
      </c>
      <c r="J261" s="2">
        <v>5</v>
      </c>
      <c r="K261" s="2">
        <v>12.600000000000001</v>
      </c>
      <c r="L261" s="2">
        <v>5.7</v>
      </c>
      <c r="M261" s="2">
        <v>0</v>
      </c>
      <c r="N261" s="2">
        <v>5.4</v>
      </c>
      <c r="O261" s="2">
        <v>7.9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1">
        <f>COUNTIF(C261:T261,"&gt;"&amp;VLOOKUP(B261,MetaTable,3,FALSE))</f>
        <v>1</v>
      </c>
      <c r="V261">
        <v>53.6</v>
      </c>
      <c r="W261">
        <f t="shared" si="4"/>
        <v>5.36</v>
      </c>
    </row>
    <row r="262" spans="1:23" x14ac:dyDescent="0.45">
      <c r="A262" s="1" t="s">
        <v>267</v>
      </c>
      <c r="B262" s="1" t="s">
        <v>228</v>
      </c>
      <c r="C262" s="2">
        <v>6.7</v>
      </c>
      <c r="D262" s="2">
        <v>1.7000000000000002</v>
      </c>
      <c r="E262" s="2">
        <v>3.6</v>
      </c>
      <c r="F262" s="2">
        <v>5.3000000000000007</v>
      </c>
      <c r="G262" s="2">
        <v>8.6999999999999993</v>
      </c>
      <c r="H262" s="2">
        <v>0</v>
      </c>
      <c r="I262" s="2">
        <v>4.2</v>
      </c>
      <c r="J262" s="2">
        <v>2.7</v>
      </c>
      <c r="K262" s="2">
        <v>0</v>
      </c>
      <c r="L262" s="2">
        <v>0</v>
      </c>
      <c r="M262" s="2">
        <v>8.4</v>
      </c>
      <c r="N262" s="2">
        <v>1.5</v>
      </c>
      <c r="O262" s="2">
        <v>1.8</v>
      </c>
      <c r="P262" s="2">
        <v>1.6</v>
      </c>
      <c r="Q262" s="2">
        <v>3.1</v>
      </c>
      <c r="R262" s="2">
        <v>0</v>
      </c>
      <c r="S262" s="2">
        <v>0</v>
      </c>
      <c r="T262" s="2">
        <v>1.1000000000000001</v>
      </c>
      <c r="U262" s="1">
        <f>COUNTIF(C262:T262,"&gt;"&amp;VLOOKUP(B262,MetaTable,3,FALSE))</f>
        <v>2</v>
      </c>
      <c r="V262">
        <v>50.4</v>
      </c>
      <c r="W262">
        <f t="shared" si="4"/>
        <v>3.8769230769230769</v>
      </c>
    </row>
    <row r="263" spans="1:23" x14ac:dyDescent="0.45">
      <c r="A263" s="1" t="s">
        <v>268</v>
      </c>
      <c r="B263" s="1" t="s">
        <v>228</v>
      </c>
      <c r="C263" s="2">
        <v>2.8000000000000003</v>
      </c>
      <c r="D263" s="2">
        <v>0</v>
      </c>
      <c r="E263" s="2">
        <v>1.2000000000000002</v>
      </c>
      <c r="F263" s="2">
        <v>0.5</v>
      </c>
      <c r="G263" s="2">
        <v>0</v>
      </c>
      <c r="H263" s="2">
        <v>7.7</v>
      </c>
      <c r="I263" s="2">
        <v>1</v>
      </c>
      <c r="J263" s="2">
        <v>6</v>
      </c>
      <c r="K263" s="2">
        <v>1</v>
      </c>
      <c r="L263" s="2">
        <v>5</v>
      </c>
      <c r="M263" s="2">
        <v>6</v>
      </c>
      <c r="N263" s="2">
        <v>0</v>
      </c>
      <c r="O263" s="2">
        <v>6.6000000000000005</v>
      </c>
      <c r="P263" s="2">
        <v>1</v>
      </c>
      <c r="Q263" s="2">
        <v>5.2</v>
      </c>
      <c r="R263" s="2">
        <v>3.2</v>
      </c>
      <c r="S263" s="2">
        <v>0.9</v>
      </c>
      <c r="T263" s="2">
        <v>0</v>
      </c>
      <c r="U263" s="1">
        <f>COUNTIF(C263:T263,"&gt;"&amp;VLOOKUP(B263,MetaTable,3,FALSE))</f>
        <v>0</v>
      </c>
      <c r="V263">
        <v>48.1</v>
      </c>
      <c r="W263">
        <f t="shared" si="4"/>
        <v>5.344444444444445</v>
      </c>
    </row>
    <row r="264" spans="1:23" x14ac:dyDescent="0.45">
      <c r="A264" s="1" t="s">
        <v>269</v>
      </c>
      <c r="B264" s="1" t="s">
        <v>228</v>
      </c>
      <c r="C264" s="2">
        <v>1.6</v>
      </c>
      <c r="D264" s="2">
        <v>2.9000000000000004</v>
      </c>
      <c r="E264" s="2">
        <v>0</v>
      </c>
      <c r="F264" s="2">
        <v>3.1</v>
      </c>
      <c r="G264" s="2">
        <v>0</v>
      </c>
      <c r="H264" s="2">
        <v>8.6999999999999993</v>
      </c>
      <c r="I264" s="2">
        <v>1</v>
      </c>
      <c r="J264" s="2">
        <v>7.3000000000000007</v>
      </c>
      <c r="K264" s="2">
        <v>5.5</v>
      </c>
      <c r="L264" s="2">
        <v>0</v>
      </c>
      <c r="M264" s="2">
        <v>0</v>
      </c>
      <c r="N264" s="2">
        <v>0</v>
      </c>
      <c r="O264" s="2">
        <v>0</v>
      </c>
      <c r="P264" s="2">
        <v>9.1</v>
      </c>
      <c r="Q264" s="2">
        <v>2.7</v>
      </c>
      <c r="R264" s="2">
        <v>0</v>
      </c>
      <c r="S264" s="2">
        <v>3.9000000000000004</v>
      </c>
      <c r="T264" s="2">
        <v>2</v>
      </c>
      <c r="U264" s="1">
        <f>COUNTIF(C264:T264,"&gt;"&amp;VLOOKUP(B264,MetaTable,3,FALSE))</f>
        <v>2</v>
      </c>
      <c r="V264">
        <v>47.8</v>
      </c>
      <c r="W264">
        <f t="shared" si="4"/>
        <v>4.7799999999999994</v>
      </c>
    </row>
    <row r="265" spans="1:23" x14ac:dyDescent="0.45">
      <c r="A265" s="1" t="s">
        <v>270</v>
      </c>
      <c r="B265" s="1" t="s">
        <v>228</v>
      </c>
      <c r="C265" s="2">
        <v>0</v>
      </c>
      <c r="D265" s="2">
        <v>2.2999999999999998</v>
      </c>
      <c r="E265" s="2">
        <v>6.3</v>
      </c>
      <c r="F265" s="2">
        <v>1</v>
      </c>
      <c r="G265" s="2">
        <v>0</v>
      </c>
      <c r="H265" s="2">
        <v>0.7</v>
      </c>
      <c r="I265" s="2">
        <v>4.9000000000000004</v>
      </c>
      <c r="J265" s="2">
        <v>4.3000000000000007</v>
      </c>
      <c r="K265" s="2">
        <v>1.7000000000000002</v>
      </c>
      <c r="L265" s="2">
        <v>0</v>
      </c>
      <c r="M265" s="2">
        <v>1.1000000000000001</v>
      </c>
      <c r="N265" s="2">
        <v>0</v>
      </c>
      <c r="O265" s="2">
        <v>0.8</v>
      </c>
      <c r="P265" s="2">
        <v>4.0999999999999996</v>
      </c>
      <c r="Q265" s="2">
        <v>12.2</v>
      </c>
      <c r="R265" s="2">
        <v>0</v>
      </c>
      <c r="S265" s="2">
        <v>0</v>
      </c>
      <c r="T265" s="2">
        <v>7.4</v>
      </c>
      <c r="U265" s="1">
        <f>COUNTIF(C265:T265,"&gt;"&amp;VLOOKUP(B265,MetaTable,3,FALSE))</f>
        <v>1</v>
      </c>
      <c r="V265">
        <v>46.8</v>
      </c>
      <c r="W265">
        <f t="shared" si="4"/>
        <v>5.1999999999999993</v>
      </c>
    </row>
    <row r="266" spans="1:23" x14ac:dyDescent="0.45">
      <c r="A266" s="1" t="s">
        <v>271</v>
      </c>
      <c r="B266" s="1" t="s">
        <v>228</v>
      </c>
      <c r="C266" s="2">
        <v>0</v>
      </c>
      <c r="D266" s="2">
        <v>3.8000000000000003</v>
      </c>
      <c r="E266" s="2">
        <v>4.4000000000000004</v>
      </c>
      <c r="F266" s="2">
        <v>0</v>
      </c>
      <c r="G266" s="2">
        <v>-0.79999999999999982</v>
      </c>
      <c r="H266" s="2">
        <v>0</v>
      </c>
      <c r="I266" s="2">
        <v>0</v>
      </c>
      <c r="J266" s="2">
        <v>2.2999999999999998</v>
      </c>
      <c r="K266" s="2">
        <v>0</v>
      </c>
      <c r="L266" s="2">
        <v>0</v>
      </c>
      <c r="M266" s="2">
        <v>0</v>
      </c>
      <c r="N266" s="2">
        <v>1</v>
      </c>
      <c r="O266" s="2">
        <v>10.199999999999999</v>
      </c>
      <c r="P266" s="2">
        <v>6.8</v>
      </c>
      <c r="Q266" s="2">
        <v>2.5</v>
      </c>
      <c r="R266" s="2">
        <v>4.7</v>
      </c>
      <c r="S266" s="2">
        <v>0</v>
      </c>
      <c r="T266" s="2">
        <v>10</v>
      </c>
      <c r="U266" s="1">
        <f>COUNTIF(C266:T266,"&gt;"&amp;VLOOKUP(B266,MetaTable,3,FALSE))</f>
        <v>2</v>
      </c>
      <c r="V266">
        <v>44.9</v>
      </c>
      <c r="W266">
        <f t="shared" si="4"/>
        <v>5.6124999999999998</v>
      </c>
    </row>
    <row r="267" spans="1:23" x14ac:dyDescent="0.45">
      <c r="A267" s="1" t="s">
        <v>272</v>
      </c>
      <c r="B267" s="1" t="s">
        <v>228</v>
      </c>
      <c r="C267" s="2">
        <v>0</v>
      </c>
      <c r="D267" s="2">
        <v>7.3</v>
      </c>
      <c r="E267" s="2">
        <v>1</v>
      </c>
      <c r="F267" s="2">
        <v>0</v>
      </c>
      <c r="G267" s="2">
        <v>1.3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8.6000000000000014</v>
      </c>
      <c r="N267" s="2">
        <v>13</v>
      </c>
      <c r="O267" s="2">
        <v>5.8000000000000007</v>
      </c>
      <c r="P267" s="2">
        <v>3.2</v>
      </c>
      <c r="Q267" s="2">
        <v>0</v>
      </c>
      <c r="R267" s="2">
        <v>0.8</v>
      </c>
      <c r="S267" s="2">
        <v>0</v>
      </c>
      <c r="T267" s="2">
        <v>2.6</v>
      </c>
      <c r="U267" s="1">
        <f>COUNTIF(C267:T267,"&gt;"&amp;VLOOKUP(B267,MetaTable,3,FALSE))</f>
        <v>2</v>
      </c>
      <c r="V267">
        <v>43.6</v>
      </c>
      <c r="W267">
        <f t="shared" si="4"/>
        <v>6.2285714285714286</v>
      </c>
    </row>
    <row r="268" spans="1:23" x14ac:dyDescent="0.45">
      <c r="A268" s="1" t="s">
        <v>273</v>
      </c>
      <c r="B268" s="1" t="s">
        <v>228</v>
      </c>
      <c r="C268" s="2">
        <v>2.1</v>
      </c>
      <c r="D268" s="2">
        <v>0</v>
      </c>
      <c r="E268" s="2">
        <v>7.9</v>
      </c>
      <c r="F268" s="2">
        <v>0</v>
      </c>
      <c r="G268" s="2">
        <v>0</v>
      </c>
      <c r="H268" s="2">
        <v>0</v>
      </c>
      <c r="I268" s="2">
        <v>4.5</v>
      </c>
      <c r="J268" s="2">
        <v>0</v>
      </c>
      <c r="K268" s="2">
        <v>10.3</v>
      </c>
      <c r="L268" s="2">
        <v>0</v>
      </c>
      <c r="M268" s="2">
        <v>1.1000000000000001</v>
      </c>
      <c r="N268" s="2">
        <v>0</v>
      </c>
      <c r="O268" s="2">
        <v>1.1000000000000001</v>
      </c>
      <c r="P268" s="2">
        <v>0.9</v>
      </c>
      <c r="Q268" s="2">
        <v>1.2000000000000002</v>
      </c>
      <c r="R268" s="2">
        <v>0</v>
      </c>
      <c r="S268" s="2">
        <v>7.3</v>
      </c>
      <c r="T268" s="2">
        <v>3.6</v>
      </c>
      <c r="U268" s="1">
        <f>COUNTIF(C268:T268,"&gt;"&amp;VLOOKUP(B268,MetaTable,3,FALSE))</f>
        <v>1</v>
      </c>
      <c r="V268">
        <v>40</v>
      </c>
      <c r="W268">
        <f t="shared" si="4"/>
        <v>4.4444444444444446</v>
      </c>
    </row>
    <row r="269" spans="1:23" x14ac:dyDescent="0.45">
      <c r="A269" s="1" t="s">
        <v>274</v>
      </c>
      <c r="B269" s="1" t="s">
        <v>228</v>
      </c>
      <c r="C269" s="2">
        <v>2.2000000000000002</v>
      </c>
      <c r="D269" s="2">
        <v>8.3000000000000007</v>
      </c>
      <c r="E269" s="2">
        <v>1.6</v>
      </c>
      <c r="F269" s="2">
        <v>2.2000000000000002</v>
      </c>
      <c r="G269" s="2">
        <v>6.7</v>
      </c>
      <c r="H269" s="2">
        <v>0</v>
      </c>
      <c r="I269" s="2">
        <v>0.6</v>
      </c>
      <c r="J269" s="2">
        <v>2.2999999999999998</v>
      </c>
      <c r="K269" s="2">
        <v>4.4000000000000004</v>
      </c>
      <c r="L269" s="2">
        <v>2.2999999999999998</v>
      </c>
      <c r="M269" s="2">
        <v>0</v>
      </c>
      <c r="N269" s="2">
        <v>1</v>
      </c>
      <c r="O269" s="2">
        <v>3.3000000000000003</v>
      </c>
      <c r="P269" s="2">
        <v>0</v>
      </c>
      <c r="Q269" s="2">
        <v>1</v>
      </c>
      <c r="R269" s="2">
        <v>0</v>
      </c>
      <c r="S269" s="2">
        <v>3.3000000000000003</v>
      </c>
      <c r="T269" s="2">
        <v>0</v>
      </c>
      <c r="U269" s="1">
        <f>COUNTIF(C269:T269,"&gt;"&amp;VLOOKUP(B269,MetaTable,3,FALSE))</f>
        <v>1</v>
      </c>
      <c r="V269">
        <v>39.200000000000003</v>
      </c>
      <c r="W269">
        <f t="shared" si="4"/>
        <v>3.9200000000000004</v>
      </c>
    </row>
    <row r="270" spans="1:23" x14ac:dyDescent="0.45">
      <c r="A270" s="1" t="s">
        <v>275</v>
      </c>
      <c r="B270" s="1" t="s">
        <v>228</v>
      </c>
      <c r="C270" s="2">
        <v>0</v>
      </c>
      <c r="D270" s="2">
        <v>0</v>
      </c>
      <c r="E270" s="2">
        <v>1.1000000000000001</v>
      </c>
      <c r="F270" s="2">
        <v>0.5</v>
      </c>
      <c r="G270" s="2">
        <v>1.3</v>
      </c>
      <c r="H270" s="2">
        <v>1</v>
      </c>
      <c r="I270" s="2">
        <v>0</v>
      </c>
      <c r="J270" s="2">
        <v>6.8</v>
      </c>
      <c r="K270" s="2">
        <v>0</v>
      </c>
      <c r="L270" s="2">
        <v>0</v>
      </c>
      <c r="M270" s="2">
        <v>7.7</v>
      </c>
      <c r="N270" s="2">
        <v>0</v>
      </c>
      <c r="O270" s="2">
        <v>2.1</v>
      </c>
      <c r="P270" s="2">
        <v>0</v>
      </c>
      <c r="Q270" s="2">
        <v>8</v>
      </c>
      <c r="R270" s="2">
        <v>2.8</v>
      </c>
      <c r="S270" s="2">
        <v>1.2000000000000002</v>
      </c>
      <c r="T270" s="2">
        <v>4</v>
      </c>
      <c r="U270" s="1">
        <f>COUNTIF(C270:T270,"&gt;"&amp;VLOOKUP(B270,MetaTable,3,FALSE))</f>
        <v>0</v>
      </c>
      <c r="V270">
        <v>36.5</v>
      </c>
      <c r="W270">
        <f t="shared" si="4"/>
        <v>4.0555555555555554</v>
      </c>
    </row>
    <row r="271" spans="1:23" x14ac:dyDescent="0.45">
      <c r="A271" s="1" t="s">
        <v>276</v>
      </c>
      <c r="B271" s="1" t="s">
        <v>228</v>
      </c>
      <c r="C271" s="2">
        <v>2.5</v>
      </c>
      <c r="D271" s="2">
        <v>2.2000000000000002</v>
      </c>
      <c r="E271" s="2">
        <v>6.7</v>
      </c>
      <c r="F271" s="2">
        <v>2.5</v>
      </c>
      <c r="G271" s="2">
        <v>4.0999999999999996</v>
      </c>
      <c r="H271" s="2">
        <v>0</v>
      </c>
      <c r="I271" s="2">
        <v>2.8</v>
      </c>
      <c r="J271" s="2">
        <v>1.5</v>
      </c>
      <c r="K271" s="2">
        <v>0</v>
      </c>
      <c r="L271" s="2">
        <v>0</v>
      </c>
      <c r="M271" s="2">
        <v>1.8</v>
      </c>
      <c r="N271" s="2">
        <v>1.2000000000000002</v>
      </c>
      <c r="O271" s="2">
        <v>9.1999999999999993</v>
      </c>
      <c r="P271" s="2">
        <v>0</v>
      </c>
      <c r="Q271" s="2">
        <v>0</v>
      </c>
      <c r="R271" s="2">
        <v>0</v>
      </c>
      <c r="S271" s="2">
        <v>1.2000000000000002</v>
      </c>
      <c r="T271" s="2">
        <v>0</v>
      </c>
      <c r="U271" s="1">
        <f>COUNTIF(C271:T271,"&gt;"&amp;VLOOKUP(B271,MetaTable,3,FALSE))</f>
        <v>1</v>
      </c>
      <c r="V271">
        <v>35.700000000000003</v>
      </c>
      <c r="W271">
        <f t="shared" si="4"/>
        <v>3.2454545454545456</v>
      </c>
    </row>
    <row r="272" spans="1:23" x14ac:dyDescent="0.45">
      <c r="A272" s="1" t="s">
        <v>277</v>
      </c>
      <c r="B272" s="1" t="s">
        <v>228</v>
      </c>
      <c r="C272" s="2">
        <v>1</v>
      </c>
      <c r="D272" s="2">
        <v>7</v>
      </c>
      <c r="E272" s="2">
        <v>0</v>
      </c>
      <c r="F272" s="2">
        <v>4.0999999999999996</v>
      </c>
      <c r="G272" s="2">
        <v>1</v>
      </c>
      <c r="H272" s="2">
        <v>1.4</v>
      </c>
      <c r="I272" s="2">
        <v>5.6</v>
      </c>
      <c r="J272" s="2">
        <v>3.4000000000000004</v>
      </c>
      <c r="K272" s="2">
        <v>0</v>
      </c>
      <c r="L272" s="2">
        <v>1.1000000000000001</v>
      </c>
      <c r="M272" s="2">
        <v>5.2</v>
      </c>
      <c r="N272" s="2">
        <v>2.9000000000000004</v>
      </c>
      <c r="O272" s="2">
        <v>1.5</v>
      </c>
      <c r="P272" s="2">
        <v>0</v>
      </c>
      <c r="Q272" s="2">
        <v>0</v>
      </c>
      <c r="R272" s="2">
        <v>0</v>
      </c>
      <c r="S272" s="2">
        <v>1.3</v>
      </c>
      <c r="T272" s="2">
        <v>0</v>
      </c>
      <c r="U272" s="1">
        <f>COUNTIF(C272:T272,"&gt;"&amp;VLOOKUP(B272,MetaTable,3,FALSE))</f>
        <v>0</v>
      </c>
      <c r="V272">
        <v>35.5</v>
      </c>
      <c r="W272">
        <f t="shared" si="4"/>
        <v>3.55</v>
      </c>
    </row>
    <row r="273" spans="1:23" x14ac:dyDescent="0.45">
      <c r="A273" s="1" t="s">
        <v>278</v>
      </c>
      <c r="B273" s="1" t="s">
        <v>228</v>
      </c>
      <c r="C273" s="2">
        <v>0</v>
      </c>
      <c r="D273" s="2">
        <v>0</v>
      </c>
      <c r="E273" s="2">
        <v>1.3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3.1</v>
      </c>
      <c r="O273" s="2">
        <v>0</v>
      </c>
      <c r="P273" s="2">
        <v>0</v>
      </c>
      <c r="Q273" s="2">
        <v>0</v>
      </c>
      <c r="R273" s="2">
        <v>5.4</v>
      </c>
      <c r="S273" s="2">
        <v>10.6</v>
      </c>
      <c r="T273" s="2">
        <v>8.6</v>
      </c>
      <c r="U273" s="1">
        <f>COUNTIF(C273:T273,"&gt;"&amp;VLOOKUP(B273,MetaTable,3,FALSE))</f>
        <v>2</v>
      </c>
      <c r="V273">
        <v>29</v>
      </c>
      <c r="W273">
        <f t="shared" si="4"/>
        <v>5.8</v>
      </c>
    </row>
    <row r="274" spans="1:23" x14ac:dyDescent="0.45">
      <c r="A274" s="1" t="s">
        <v>279</v>
      </c>
      <c r="B274" s="1" t="s">
        <v>228</v>
      </c>
      <c r="C274" s="2">
        <v>0.79999999999999982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2.4000000000000004</v>
      </c>
      <c r="L274" s="2">
        <v>13.3</v>
      </c>
      <c r="M274" s="2">
        <v>2.2999999999999998</v>
      </c>
      <c r="N274" s="2">
        <v>0</v>
      </c>
      <c r="O274" s="2">
        <v>4.8000000000000007</v>
      </c>
      <c r="P274" s="2">
        <v>2.4000000000000004</v>
      </c>
      <c r="Q274" s="2">
        <v>1.4</v>
      </c>
      <c r="R274" s="2">
        <v>0</v>
      </c>
      <c r="S274" s="2">
        <v>0</v>
      </c>
      <c r="T274" s="2">
        <v>1.6</v>
      </c>
      <c r="U274" s="1">
        <f>COUNTIF(C274:T274,"&gt;"&amp;VLOOKUP(B274,MetaTable,3,FALSE))</f>
        <v>1</v>
      </c>
      <c r="V274">
        <v>29</v>
      </c>
      <c r="W274">
        <f t="shared" si="4"/>
        <v>4.1428571428571432</v>
      </c>
    </row>
    <row r="275" spans="1:23" x14ac:dyDescent="0.45">
      <c r="A275" s="1" t="s">
        <v>280</v>
      </c>
      <c r="B275" s="1" t="s">
        <v>228</v>
      </c>
      <c r="C275" s="2">
        <v>0.7</v>
      </c>
      <c r="D275" s="2">
        <v>0</v>
      </c>
      <c r="E275" s="2">
        <v>5.4</v>
      </c>
      <c r="F275" s="2">
        <v>2.2999999999999998</v>
      </c>
      <c r="G275" s="2">
        <v>0</v>
      </c>
      <c r="H275" s="2">
        <v>0</v>
      </c>
      <c r="I275" s="2">
        <v>0</v>
      </c>
      <c r="J275" s="2">
        <v>7.3</v>
      </c>
      <c r="K275" s="2">
        <v>0.6</v>
      </c>
      <c r="L275" s="2">
        <v>0</v>
      </c>
      <c r="M275" s="2">
        <v>7</v>
      </c>
      <c r="N275" s="2">
        <v>3.4000000000000004</v>
      </c>
      <c r="O275" s="2">
        <v>1.8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1">
        <f>COUNTIF(C275:T275,"&gt;"&amp;VLOOKUP(B275,MetaTable,3,FALSE))</f>
        <v>0</v>
      </c>
      <c r="V275">
        <v>28.5</v>
      </c>
      <c r="W275">
        <f t="shared" si="4"/>
        <v>4.75</v>
      </c>
    </row>
    <row r="276" spans="1:23" x14ac:dyDescent="0.45">
      <c r="A276" s="1" t="s">
        <v>281</v>
      </c>
      <c r="B276" s="1" t="s">
        <v>228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1.5</v>
      </c>
      <c r="I276" s="2">
        <v>3.6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0.8</v>
      </c>
      <c r="P276" s="2">
        <v>6.9</v>
      </c>
      <c r="Q276" s="2">
        <v>5.5</v>
      </c>
      <c r="R276" s="2">
        <v>5.2</v>
      </c>
      <c r="S276" s="2">
        <v>3.3000000000000003</v>
      </c>
      <c r="T276" s="2">
        <v>0</v>
      </c>
      <c r="U276" s="1">
        <f>COUNTIF(C276:T276,"&gt;"&amp;VLOOKUP(B276,MetaTable,3,FALSE))</f>
        <v>0</v>
      </c>
      <c r="V276">
        <v>26.8</v>
      </c>
      <c r="W276">
        <f t="shared" si="4"/>
        <v>4.4666666666666668</v>
      </c>
    </row>
    <row r="277" spans="1:23" x14ac:dyDescent="0.45">
      <c r="A277" s="1" t="s">
        <v>282</v>
      </c>
      <c r="B277" s="1" t="s">
        <v>228</v>
      </c>
      <c r="C277" s="2">
        <v>0</v>
      </c>
      <c r="D277" s="2">
        <v>2.2999999999999998</v>
      </c>
      <c r="E277" s="2">
        <v>0</v>
      </c>
      <c r="F277" s="2">
        <v>3.2</v>
      </c>
      <c r="G277" s="2">
        <v>1.6</v>
      </c>
      <c r="H277" s="2">
        <v>0</v>
      </c>
      <c r="I277" s="2">
        <v>2</v>
      </c>
      <c r="J277" s="2">
        <v>2.9000000000000004</v>
      </c>
      <c r="K277" s="2">
        <v>0</v>
      </c>
      <c r="L277" s="2">
        <v>0.7</v>
      </c>
      <c r="M277" s="2">
        <v>2.5</v>
      </c>
      <c r="N277" s="2">
        <v>10.1</v>
      </c>
      <c r="O277" s="2">
        <v>0.9</v>
      </c>
      <c r="P277" s="2">
        <v>0</v>
      </c>
      <c r="Q277" s="2">
        <v>0</v>
      </c>
      <c r="R277" s="2">
        <v>0</v>
      </c>
      <c r="S277" s="2">
        <v>0.6</v>
      </c>
      <c r="T277" s="2">
        <v>0</v>
      </c>
      <c r="U277" s="1">
        <f>COUNTIF(C277:T277,"&gt;"&amp;VLOOKUP(B277,MetaTable,3,FALSE))</f>
        <v>1</v>
      </c>
      <c r="V277">
        <v>26.8</v>
      </c>
      <c r="W277">
        <f t="shared" si="4"/>
        <v>3.8285714285714287</v>
      </c>
    </row>
    <row r="278" spans="1:23" x14ac:dyDescent="0.45">
      <c r="A278" s="1" t="s">
        <v>283</v>
      </c>
      <c r="B278" s="1" t="s">
        <v>228</v>
      </c>
      <c r="C278" s="2">
        <v>0</v>
      </c>
      <c r="D278" s="2">
        <v>2.7</v>
      </c>
      <c r="E278" s="2">
        <v>0</v>
      </c>
      <c r="F278" s="2">
        <v>0</v>
      </c>
      <c r="G278" s="2">
        <v>10.7</v>
      </c>
      <c r="H278" s="2">
        <v>6.1000000000000005</v>
      </c>
      <c r="I278" s="2">
        <v>0</v>
      </c>
      <c r="J278" s="2">
        <v>0</v>
      </c>
      <c r="K278" s="2">
        <v>0</v>
      </c>
      <c r="L278" s="2">
        <v>0</v>
      </c>
      <c r="M278" s="2">
        <v>2.7</v>
      </c>
      <c r="N278" s="2">
        <v>0</v>
      </c>
      <c r="O278" s="2">
        <v>2.5</v>
      </c>
      <c r="P278" s="2">
        <v>0</v>
      </c>
      <c r="Q278" s="2">
        <v>0</v>
      </c>
      <c r="R278" s="2">
        <v>2</v>
      </c>
      <c r="S278" s="2">
        <v>0</v>
      </c>
      <c r="T278" s="2">
        <v>0</v>
      </c>
      <c r="U278" s="1">
        <f>COUNTIF(C278:T278,"&gt;"&amp;VLOOKUP(B278,MetaTable,3,FALSE))</f>
        <v>1</v>
      </c>
      <c r="V278">
        <v>26.7</v>
      </c>
      <c r="W278">
        <f t="shared" si="4"/>
        <v>4.45</v>
      </c>
    </row>
    <row r="279" spans="1:23" x14ac:dyDescent="0.45">
      <c r="A279" s="1" t="s">
        <v>284</v>
      </c>
      <c r="B279" s="1" t="s">
        <v>228</v>
      </c>
      <c r="C279" s="2">
        <v>0</v>
      </c>
      <c r="D279" s="2">
        <v>4.3000000000000007</v>
      </c>
      <c r="E279" s="2">
        <v>0</v>
      </c>
      <c r="F279" s="2">
        <v>0.5</v>
      </c>
      <c r="G279" s="2">
        <v>0</v>
      </c>
      <c r="H279" s="2">
        <v>0</v>
      </c>
      <c r="I279" s="2">
        <v>0</v>
      </c>
      <c r="J279" s="2">
        <v>0</v>
      </c>
      <c r="K279" s="2">
        <v>9.4</v>
      </c>
      <c r="L279" s="2">
        <v>0</v>
      </c>
      <c r="M279" s="2">
        <v>1</v>
      </c>
      <c r="N279" s="2">
        <v>0</v>
      </c>
      <c r="O279" s="2">
        <v>1.8</v>
      </c>
      <c r="P279" s="2">
        <v>2.2999999999999998</v>
      </c>
      <c r="Q279" s="2">
        <v>1.3</v>
      </c>
      <c r="R279" s="2">
        <v>1.7000000000000002</v>
      </c>
      <c r="S279" s="2">
        <v>0.8</v>
      </c>
      <c r="T279" s="2">
        <v>3.4000000000000004</v>
      </c>
      <c r="U279" s="1">
        <f>COUNTIF(C279:T279,"&gt;"&amp;VLOOKUP(B279,MetaTable,3,FALSE))</f>
        <v>1</v>
      </c>
      <c r="V279">
        <v>26.5</v>
      </c>
      <c r="W279">
        <f t="shared" si="4"/>
        <v>3.7857142857142856</v>
      </c>
    </row>
    <row r="280" spans="1:23" x14ac:dyDescent="0.45">
      <c r="A280" s="1" t="s">
        <v>285</v>
      </c>
      <c r="B280" s="1" t="s">
        <v>228</v>
      </c>
      <c r="C280" s="2">
        <v>1.3</v>
      </c>
      <c r="D280" s="2">
        <v>1.6</v>
      </c>
      <c r="E280" s="2">
        <v>1.2000000000000002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2.1</v>
      </c>
      <c r="O280" s="2">
        <v>1</v>
      </c>
      <c r="P280" s="2">
        <v>10.3</v>
      </c>
      <c r="Q280" s="2">
        <v>1.6</v>
      </c>
      <c r="R280" s="2">
        <v>0</v>
      </c>
      <c r="S280" s="2">
        <v>1.9000000000000001</v>
      </c>
      <c r="T280" s="2">
        <v>4.0999999999999996</v>
      </c>
      <c r="U280" s="1">
        <f>COUNTIF(C280:T280,"&gt;"&amp;VLOOKUP(B280,MetaTable,3,FALSE))</f>
        <v>1</v>
      </c>
      <c r="V280">
        <v>26.1</v>
      </c>
      <c r="W280">
        <f t="shared" si="4"/>
        <v>3.2625000000000002</v>
      </c>
    </row>
    <row r="281" spans="1:23" x14ac:dyDescent="0.45">
      <c r="A281" s="1" t="s">
        <v>286</v>
      </c>
      <c r="B281" s="1" t="s">
        <v>228</v>
      </c>
      <c r="C281" s="2">
        <v>0</v>
      </c>
      <c r="D281" s="2">
        <v>5.2</v>
      </c>
      <c r="E281" s="2">
        <v>4.2</v>
      </c>
      <c r="F281" s="2">
        <v>4.8000000000000007</v>
      </c>
      <c r="G281" s="2">
        <v>2</v>
      </c>
      <c r="H281" s="2">
        <v>2</v>
      </c>
      <c r="I281" s="2">
        <v>0</v>
      </c>
      <c r="J281" s="2">
        <v>4.2</v>
      </c>
      <c r="K281" s="2">
        <v>3.4000000000000004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1">
        <f>COUNTIF(C281:T281,"&gt;"&amp;VLOOKUP(B281,MetaTable,3,FALSE))</f>
        <v>0</v>
      </c>
      <c r="V281">
        <v>25.8</v>
      </c>
      <c r="W281">
        <f t="shared" si="4"/>
        <v>3.6857142857142859</v>
      </c>
    </row>
    <row r="282" spans="1:23" x14ac:dyDescent="0.45">
      <c r="A282" s="1" t="s">
        <v>287</v>
      </c>
      <c r="B282" s="1" t="s">
        <v>228</v>
      </c>
      <c r="C282" s="2">
        <v>0</v>
      </c>
      <c r="D282" s="2">
        <v>1.4</v>
      </c>
      <c r="E282" s="2">
        <v>4.5</v>
      </c>
      <c r="F282" s="2">
        <v>0</v>
      </c>
      <c r="G282" s="2">
        <v>0</v>
      </c>
      <c r="H282" s="2">
        <v>0</v>
      </c>
      <c r="I282" s="2">
        <v>0</v>
      </c>
      <c r="J282" s="2">
        <v>0.9</v>
      </c>
      <c r="K282" s="2">
        <v>2.7</v>
      </c>
      <c r="L282" s="2">
        <v>2.5</v>
      </c>
      <c r="M282" s="2">
        <v>0.9</v>
      </c>
      <c r="N282" s="2">
        <v>0</v>
      </c>
      <c r="O282" s="2">
        <v>0</v>
      </c>
      <c r="P282" s="2">
        <v>0</v>
      </c>
      <c r="Q282" s="2">
        <v>6.2</v>
      </c>
      <c r="R282" s="2">
        <v>0</v>
      </c>
      <c r="S282" s="2">
        <v>4.9000000000000004</v>
      </c>
      <c r="T282" s="2">
        <v>1.2000000000000002</v>
      </c>
      <c r="U282" s="1">
        <f>COUNTIF(C282:T282,"&gt;"&amp;VLOOKUP(B282,MetaTable,3,FALSE))</f>
        <v>0</v>
      </c>
      <c r="V282">
        <v>25.2</v>
      </c>
      <c r="W282">
        <f t="shared" si="4"/>
        <v>3.6</v>
      </c>
    </row>
    <row r="283" spans="1:23" x14ac:dyDescent="0.45">
      <c r="A283" s="1" t="s">
        <v>288</v>
      </c>
      <c r="B283" s="1" t="s">
        <v>228</v>
      </c>
      <c r="C283" s="2">
        <v>0</v>
      </c>
      <c r="D283" s="2">
        <v>0</v>
      </c>
      <c r="E283" s="2">
        <v>0</v>
      </c>
      <c r="F283" s="2">
        <v>0</v>
      </c>
      <c r="G283" s="2">
        <v>1</v>
      </c>
      <c r="H283" s="2">
        <v>2.1</v>
      </c>
      <c r="I283" s="2">
        <v>5.6000000000000005</v>
      </c>
      <c r="J283" s="2">
        <v>2.8</v>
      </c>
      <c r="K283" s="2">
        <v>0</v>
      </c>
      <c r="L283" s="2">
        <v>3.1</v>
      </c>
      <c r="M283" s="2">
        <v>0</v>
      </c>
      <c r="N283" s="2">
        <v>0</v>
      </c>
      <c r="O283" s="2">
        <v>3.9000000000000004</v>
      </c>
      <c r="P283" s="2">
        <v>0</v>
      </c>
      <c r="Q283" s="2">
        <v>1.8</v>
      </c>
      <c r="R283" s="2">
        <v>3.6</v>
      </c>
      <c r="S283" s="2">
        <v>0.8</v>
      </c>
      <c r="T283" s="2">
        <v>0</v>
      </c>
      <c r="U283" s="1">
        <f>COUNTIF(C283:T283,"&gt;"&amp;VLOOKUP(B283,MetaTable,3,FALSE))</f>
        <v>0</v>
      </c>
      <c r="V283">
        <v>24.7</v>
      </c>
      <c r="W283">
        <f t="shared" si="4"/>
        <v>3.5285714285714285</v>
      </c>
    </row>
    <row r="284" spans="1:23" x14ac:dyDescent="0.45">
      <c r="A284" s="1" t="s">
        <v>289</v>
      </c>
      <c r="B284" s="1" t="s">
        <v>228</v>
      </c>
      <c r="C284" s="2">
        <v>0</v>
      </c>
      <c r="D284" s="2">
        <v>0.9</v>
      </c>
      <c r="E284" s="2">
        <v>3.5</v>
      </c>
      <c r="F284" s="2">
        <v>0</v>
      </c>
      <c r="G284" s="2">
        <v>14.1</v>
      </c>
      <c r="H284" s="2">
        <v>0</v>
      </c>
      <c r="I284" s="2">
        <v>1.9000000000000001</v>
      </c>
      <c r="J284" s="2">
        <v>1.4</v>
      </c>
      <c r="K284" s="2">
        <v>0</v>
      </c>
      <c r="L284" s="2">
        <v>0.9</v>
      </c>
      <c r="M284" s="2">
        <v>0</v>
      </c>
      <c r="N284" s="2">
        <v>1.1000000000000001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1">
        <f>COUNTIF(C284:T284,"&gt;"&amp;VLOOKUP(B284,MetaTable,3,FALSE))</f>
        <v>1</v>
      </c>
      <c r="V284">
        <v>23.8</v>
      </c>
      <c r="W284">
        <f t="shared" si="4"/>
        <v>4.76</v>
      </c>
    </row>
    <row r="285" spans="1:23" x14ac:dyDescent="0.45">
      <c r="A285" s="1" t="s">
        <v>290</v>
      </c>
      <c r="B285" s="1" t="s">
        <v>228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7.6</v>
      </c>
      <c r="S285" s="2">
        <v>1.9</v>
      </c>
      <c r="T285" s="2">
        <v>13.100000000000001</v>
      </c>
      <c r="U285" s="1">
        <f>COUNTIF(C285:T285,"&gt;"&amp;VLOOKUP(B285,MetaTable,3,FALSE))</f>
        <v>1</v>
      </c>
      <c r="V285">
        <v>22.6</v>
      </c>
      <c r="W285">
        <f t="shared" si="4"/>
        <v>7.5333333333333341</v>
      </c>
    </row>
    <row r="286" spans="1:23" x14ac:dyDescent="0.45">
      <c r="A286" s="1" t="s">
        <v>291</v>
      </c>
      <c r="B286" s="1" t="s">
        <v>228</v>
      </c>
      <c r="C286" s="2">
        <v>0</v>
      </c>
      <c r="D286" s="2">
        <v>1.7000000000000002</v>
      </c>
      <c r="E286" s="2">
        <v>0</v>
      </c>
      <c r="F286" s="2">
        <v>8</v>
      </c>
      <c r="G286" s="2">
        <v>1</v>
      </c>
      <c r="H286" s="2">
        <v>3.4000000000000004</v>
      </c>
      <c r="I286" s="2">
        <v>0</v>
      </c>
      <c r="J286" s="2">
        <v>0</v>
      </c>
      <c r="K286" s="2">
        <v>0</v>
      </c>
      <c r="L286" s="2">
        <v>0.7</v>
      </c>
      <c r="M286" s="2">
        <v>1.3</v>
      </c>
      <c r="N286" s="2">
        <v>0</v>
      </c>
      <c r="O286" s="2">
        <v>2.7</v>
      </c>
      <c r="P286" s="2">
        <v>0</v>
      </c>
      <c r="Q286" s="2">
        <v>0</v>
      </c>
      <c r="R286" s="2">
        <v>0</v>
      </c>
      <c r="S286" s="2">
        <v>0</v>
      </c>
      <c r="T286" s="2">
        <v>2.6</v>
      </c>
      <c r="U286" s="1">
        <f>COUNTIF(C286:T286,"&gt;"&amp;VLOOKUP(B286,MetaTable,3,FALSE))</f>
        <v>0</v>
      </c>
      <c r="V286">
        <v>21.4</v>
      </c>
      <c r="W286">
        <f t="shared" si="4"/>
        <v>3.5666666666666664</v>
      </c>
    </row>
    <row r="287" spans="1:23" x14ac:dyDescent="0.45">
      <c r="A287" s="1" t="s">
        <v>292</v>
      </c>
      <c r="B287" s="1" t="s">
        <v>228</v>
      </c>
      <c r="C287" s="2">
        <v>0</v>
      </c>
      <c r="D287" s="2">
        <v>3.6</v>
      </c>
      <c r="E287" s="2">
        <v>5.1000000000000005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1.2000000000000002</v>
      </c>
      <c r="N287" s="2">
        <v>0</v>
      </c>
      <c r="O287" s="2">
        <v>0</v>
      </c>
      <c r="P287" s="2">
        <v>0.9</v>
      </c>
      <c r="Q287" s="2">
        <v>0</v>
      </c>
      <c r="R287" s="2">
        <v>6.7</v>
      </c>
      <c r="S287" s="2">
        <v>0</v>
      </c>
      <c r="T287" s="2">
        <v>3.7</v>
      </c>
      <c r="U287" s="1">
        <f>COUNTIF(C287:T287,"&gt;"&amp;VLOOKUP(B287,MetaTable,3,FALSE))</f>
        <v>0</v>
      </c>
      <c r="V287">
        <v>21.2</v>
      </c>
      <c r="W287">
        <f t="shared" si="4"/>
        <v>4.24</v>
      </c>
    </row>
    <row r="288" spans="1:23" x14ac:dyDescent="0.45">
      <c r="A288" s="1" t="s">
        <v>293</v>
      </c>
      <c r="B288" s="1" t="s">
        <v>228</v>
      </c>
      <c r="C288" s="2">
        <v>0</v>
      </c>
      <c r="D288" s="2">
        <v>0</v>
      </c>
      <c r="E288" s="2">
        <v>2.5</v>
      </c>
      <c r="F288" s="2">
        <v>2</v>
      </c>
      <c r="G288" s="2">
        <v>0</v>
      </c>
      <c r="H288" s="2">
        <v>1.7000000000000002</v>
      </c>
      <c r="I288" s="2">
        <v>0</v>
      </c>
      <c r="J288" s="2">
        <v>2.9000000000000004</v>
      </c>
      <c r="K288" s="2">
        <v>0.9</v>
      </c>
      <c r="L288" s="2">
        <v>2.7</v>
      </c>
      <c r="M288" s="2">
        <v>1.1000000000000001</v>
      </c>
      <c r="N288" s="2">
        <v>0</v>
      </c>
      <c r="O288" s="2">
        <v>0.8</v>
      </c>
      <c r="P288" s="2">
        <v>0</v>
      </c>
      <c r="Q288" s="2">
        <v>1.7000000000000002</v>
      </c>
      <c r="R288" s="2">
        <v>2.2000000000000002</v>
      </c>
      <c r="S288" s="2">
        <v>0</v>
      </c>
      <c r="T288" s="2">
        <v>1</v>
      </c>
      <c r="U288" s="1">
        <f>COUNTIF(C288:T288,"&gt;"&amp;VLOOKUP(B288,MetaTable,3,FALSE))</f>
        <v>0</v>
      </c>
      <c r="V288">
        <v>19.5</v>
      </c>
      <c r="W288">
        <f t="shared" si="4"/>
        <v>2.4375</v>
      </c>
    </row>
    <row r="289" spans="1:23" x14ac:dyDescent="0.45">
      <c r="A289" s="1" t="s">
        <v>294</v>
      </c>
      <c r="B289" s="1" t="s">
        <v>228</v>
      </c>
      <c r="C289" s="2">
        <v>0.8</v>
      </c>
      <c r="D289" s="2">
        <v>0</v>
      </c>
      <c r="E289" s="2">
        <v>2.2000000000000002</v>
      </c>
      <c r="F289" s="2">
        <v>0</v>
      </c>
      <c r="G289" s="2">
        <v>0</v>
      </c>
      <c r="H289" s="2">
        <v>0</v>
      </c>
      <c r="I289" s="2">
        <v>1.6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7</v>
      </c>
      <c r="Q289" s="2">
        <v>5</v>
      </c>
      <c r="R289" s="2">
        <v>1</v>
      </c>
      <c r="S289" s="2">
        <v>0</v>
      </c>
      <c r="T289" s="2">
        <v>1.9</v>
      </c>
      <c r="U289" s="1">
        <f>COUNTIF(C289:T289,"&gt;"&amp;VLOOKUP(B289,MetaTable,3,FALSE))</f>
        <v>0</v>
      </c>
      <c r="V289">
        <v>19.5</v>
      </c>
      <c r="W289">
        <f t="shared" si="4"/>
        <v>3.9</v>
      </c>
    </row>
    <row r="290" spans="1:23" x14ac:dyDescent="0.45">
      <c r="A290" s="1" t="s">
        <v>295</v>
      </c>
      <c r="B290" s="1" t="s">
        <v>228</v>
      </c>
      <c r="C290" s="2">
        <v>1.1000000000000001</v>
      </c>
      <c r="D290" s="2">
        <v>0</v>
      </c>
      <c r="E290" s="2">
        <v>3.4000000000000004</v>
      </c>
      <c r="F290" s="2">
        <v>0</v>
      </c>
      <c r="G290" s="2">
        <v>0</v>
      </c>
      <c r="H290" s="2">
        <v>0</v>
      </c>
      <c r="I290" s="2">
        <v>0.9</v>
      </c>
      <c r="J290" s="2">
        <v>2.6</v>
      </c>
      <c r="K290" s="2">
        <v>0</v>
      </c>
      <c r="L290" s="2">
        <v>0</v>
      </c>
      <c r="M290" s="2">
        <v>3.8000000000000003</v>
      </c>
      <c r="N290" s="2">
        <v>1.3</v>
      </c>
      <c r="O290" s="2">
        <v>1</v>
      </c>
      <c r="P290" s="2">
        <v>1.9000000000000001</v>
      </c>
      <c r="Q290" s="2">
        <v>0</v>
      </c>
      <c r="R290" s="2">
        <v>0</v>
      </c>
      <c r="S290" s="2">
        <v>0</v>
      </c>
      <c r="T290" s="2">
        <v>0</v>
      </c>
      <c r="U290" s="1">
        <f>COUNTIF(C290:T290,"&gt;"&amp;VLOOKUP(B290,MetaTable,3,FALSE))</f>
        <v>0</v>
      </c>
      <c r="V290">
        <v>16</v>
      </c>
      <c r="W290">
        <f t="shared" si="4"/>
        <v>2.6666666666666665</v>
      </c>
    </row>
    <row r="291" spans="1:23" x14ac:dyDescent="0.45">
      <c r="A291" s="1" t="s">
        <v>296</v>
      </c>
      <c r="B291" s="1" t="s">
        <v>228</v>
      </c>
      <c r="C291" s="2">
        <v>0</v>
      </c>
      <c r="D291" s="2">
        <v>0</v>
      </c>
      <c r="E291" s="2">
        <v>0</v>
      </c>
      <c r="F291" s="2">
        <v>8.8000000000000007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3.4000000000000004</v>
      </c>
      <c r="O291" s="2">
        <v>0</v>
      </c>
      <c r="P291" s="2">
        <v>0</v>
      </c>
      <c r="Q291" s="2">
        <v>0</v>
      </c>
      <c r="R291" s="2">
        <v>0</v>
      </c>
      <c r="S291" s="2">
        <v>1.3</v>
      </c>
      <c r="T291" s="2">
        <v>0.6</v>
      </c>
      <c r="U291" s="1">
        <f>COUNTIF(C291:T291,"&gt;"&amp;VLOOKUP(B291,MetaTable,3,FALSE))</f>
        <v>1</v>
      </c>
      <c r="V291">
        <v>14.1</v>
      </c>
      <c r="W291">
        <f t="shared" si="4"/>
        <v>4.7</v>
      </c>
    </row>
    <row r="292" spans="1:23" x14ac:dyDescent="0.45">
      <c r="A292" s="1" t="s">
        <v>297</v>
      </c>
      <c r="B292" s="1" t="s">
        <v>228</v>
      </c>
      <c r="C292" s="2">
        <v>0</v>
      </c>
      <c r="D292" s="2">
        <v>0</v>
      </c>
      <c r="E292" s="2">
        <v>0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6.2</v>
      </c>
      <c r="N292" s="2">
        <v>3.4000000000000004</v>
      </c>
      <c r="O292" s="2">
        <v>0</v>
      </c>
      <c r="P292" s="2">
        <v>0</v>
      </c>
      <c r="Q292" s="2">
        <v>0.7</v>
      </c>
      <c r="R292" s="2">
        <v>0</v>
      </c>
      <c r="S292" s="2">
        <v>0</v>
      </c>
      <c r="T292" s="2">
        <v>0</v>
      </c>
      <c r="U292" s="1">
        <f>COUNTIF(C292:T292,"&gt;"&amp;VLOOKUP(B292,MetaTable,3,FALSE))</f>
        <v>0</v>
      </c>
      <c r="V292">
        <v>13.3</v>
      </c>
      <c r="W292">
        <f t="shared" si="4"/>
        <v>4.4333333333333336</v>
      </c>
    </row>
    <row r="293" spans="1:23" x14ac:dyDescent="0.45">
      <c r="A293" s="1" t="s">
        <v>298</v>
      </c>
      <c r="B293" s="1" t="s">
        <v>228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1.7000000000000002</v>
      </c>
      <c r="L293" s="2">
        <v>0.9</v>
      </c>
      <c r="M293" s="2">
        <v>7.6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3</v>
      </c>
      <c r="U293" s="1">
        <f>COUNTIF(C293:T293,"&gt;"&amp;VLOOKUP(B293,MetaTable,3,FALSE))</f>
        <v>0</v>
      </c>
      <c r="V293">
        <v>13.2</v>
      </c>
      <c r="W293">
        <f t="shared" si="4"/>
        <v>4.3999999999999995</v>
      </c>
    </row>
    <row r="294" spans="1:23" x14ac:dyDescent="0.45">
      <c r="A294" s="1" t="s">
        <v>299</v>
      </c>
      <c r="B294" s="1" t="s">
        <v>228</v>
      </c>
      <c r="C294" s="2">
        <v>0</v>
      </c>
      <c r="D294" s="2">
        <v>0</v>
      </c>
      <c r="E294" s="2">
        <v>0</v>
      </c>
      <c r="F294" s="2">
        <v>3.1</v>
      </c>
      <c r="G294" s="2">
        <v>0</v>
      </c>
      <c r="H294" s="2">
        <v>3.9000000000000004</v>
      </c>
      <c r="I294" s="2">
        <v>2.9000000000000004</v>
      </c>
      <c r="J294" s="2">
        <v>0</v>
      </c>
      <c r="K294" s="2">
        <v>3.2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1">
        <f>COUNTIF(C294:T294,"&gt;"&amp;VLOOKUP(B294,MetaTable,3,FALSE))</f>
        <v>0</v>
      </c>
      <c r="V294">
        <v>13.1</v>
      </c>
      <c r="W294">
        <f t="shared" si="4"/>
        <v>3.2749999999999999</v>
      </c>
    </row>
    <row r="295" spans="1:23" x14ac:dyDescent="0.45">
      <c r="A295" s="1" t="s">
        <v>300</v>
      </c>
      <c r="B295" s="1" t="s">
        <v>228</v>
      </c>
      <c r="C295" s="2">
        <v>1.4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1.5</v>
      </c>
      <c r="K295" s="2">
        <v>0</v>
      </c>
      <c r="L295" s="2">
        <v>0</v>
      </c>
      <c r="M295" s="2">
        <v>0</v>
      </c>
      <c r="N295" s="2">
        <v>0</v>
      </c>
      <c r="O295" s="2">
        <v>3.1</v>
      </c>
      <c r="P295" s="2">
        <v>0.4</v>
      </c>
      <c r="Q295" s="2">
        <v>0</v>
      </c>
      <c r="R295" s="2">
        <v>6.6</v>
      </c>
      <c r="S295" s="2">
        <v>0</v>
      </c>
      <c r="T295" s="2">
        <v>0</v>
      </c>
      <c r="U295" s="1">
        <f>COUNTIF(C295:T295,"&gt;"&amp;VLOOKUP(B295,MetaTable,3,FALSE))</f>
        <v>0</v>
      </c>
      <c r="V295">
        <v>13</v>
      </c>
      <c r="W295">
        <f t="shared" si="4"/>
        <v>3.25</v>
      </c>
    </row>
    <row r="296" spans="1:23" x14ac:dyDescent="0.45">
      <c r="A296" s="1" t="s">
        <v>301</v>
      </c>
      <c r="B296" s="1" t="s">
        <v>228</v>
      </c>
      <c r="C296" s="2">
        <v>0</v>
      </c>
      <c r="D296" s="2">
        <v>2.2999999999999998</v>
      </c>
      <c r="E296" s="2">
        <v>0.6</v>
      </c>
      <c r="F296" s="2">
        <v>0</v>
      </c>
      <c r="G296" s="2">
        <v>2.7</v>
      </c>
      <c r="H296" s="2">
        <v>0</v>
      </c>
      <c r="I296" s="2">
        <v>0</v>
      </c>
      <c r="J296" s="2">
        <v>0</v>
      </c>
      <c r="K296" s="2">
        <v>1</v>
      </c>
      <c r="L296" s="2">
        <v>2.6</v>
      </c>
      <c r="M296" s="2">
        <v>0.8</v>
      </c>
      <c r="N296" s="2">
        <v>0</v>
      </c>
      <c r="O296" s="2">
        <v>0</v>
      </c>
      <c r="P296" s="2">
        <v>0</v>
      </c>
      <c r="Q296" s="2">
        <v>0</v>
      </c>
      <c r="R296" s="2">
        <v>1.8</v>
      </c>
      <c r="S296" s="2">
        <v>0</v>
      </c>
      <c r="T296" s="2">
        <v>0.9</v>
      </c>
      <c r="U296" s="1">
        <f>COUNTIF(C296:T296,"&gt;"&amp;VLOOKUP(B296,MetaTable,3,FALSE))</f>
        <v>0</v>
      </c>
      <c r="V296">
        <v>12.7</v>
      </c>
      <c r="W296">
        <f t="shared" si="4"/>
        <v>3.1749999999999998</v>
      </c>
    </row>
    <row r="297" spans="1:23" x14ac:dyDescent="0.45">
      <c r="A297" s="1" t="s">
        <v>302</v>
      </c>
      <c r="B297" s="1" t="s">
        <v>228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6.7</v>
      </c>
      <c r="L297" s="2">
        <v>0</v>
      </c>
      <c r="M297" s="2">
        <v>0</v>
      </c>
      <c r="N297" s="2">
        <v>0</v>
      </c>
      <c r="O297" s="2">
        <v>1.9000000000000001</v>
      </c>
      <c r="P297" s="2">
        <v>0</v>
      </c>
      <c r="Q297" s="2">
        <v>0</v>
      </c>
      <c r="R297" s="2">
        <v>0</v>
      </c>
      <c r="S297" s="2">
        <v>0</v>
      </c>
      <c r="T297" s="2">
        <v>3.5</v>
      </c>
      <c r="U297" s="1">
        <f>COUNTIF(C297:T297,"&gt;"&amp;VLOOKUP(B297,MetaTable,3,FALSE))</f>
        <v>0</v>
      </c>
      <c r="V297">
        <v>12.1</v>
      </c>
      <c r="W297">
        <f t="shared" si="4"/>
        <v>4.0333333333333332</v>
      </c>
    </row>
    <row r="298" spans="1:23" x14ac:dyDescent="0.45">
      <c r="A298" s="1" t="s">
        <v>303</v>
      </c>
      <c r="B298" s="1" t="s">
        <v>228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6.7</v>
      </c>
      <c r="T298" s="2">
        <v>4.5999999999999996</v>
      </c>
      <c r="U298" s="1">
        <f>COUNTIF(C298:T298,"&gt;"&amp;VLOOKUP(B298,MetaTable,3,FALSE))</f>
        <v>0</v>
      </c>
      <c r="V298">
        <v>11.3</v>
      </c>
      <c r="W298">
        <f t="shared" si="4"/>
        <v>5.65</v>
      </c>
    </row>
    <row r="299" spans="1:23" x14ac:dyDescent="0.45">
      <c r="A299" s="1" t="s">
        <v>304</v>
      </c>
      <c r="B299" s="1" t="s">
        <v>228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7.6</v>
      </c>
      <c r="J299" s="2">
        <v>0</v>
      </c>
      <c r="K299" s="2">
        <v>1.7000000000000002</v>
      </c>
      <c r="L299" s="2">
        <v>0</v>
      </c>
      <c r="M299" s="2">
        <v>0</v>
      </c>
      <c r="N299" s="2">
        <v>0</v>
      </c>
      <c r="O299" s="2">
        <v>0.8</v>
      </c>
      <c r="P299" s="2">
        <v>0</v>
      </c>
      <c r="Q299" s="2">
        <v>1.2000000000000002</v>
      </c>
      <c r="R299" s="2">
        <v>0</v>
      </c>
      <c r="S299" s="2">
        <v>0</v>
      </c>
      <c r="T299" s="2">
        <v>0</v>
      </c>
      <c r="U299" s="1">
        <f>COUNTIF(C299:T299,"&gt;"&amp;VLOOKUP(B299,MetaTable,3,FALSE))</f>
        <v>0</v>
      </c>
      <c r="V299">
        <v>11.3</v>
      </c>
      <c r="W299">
        <f t="shared" si="4"/>
        <v>3.7666666666666671</v>
      </c>
    </row>
    <row r="300" spans="1:23" x14ac:dyDescent="0.45">
      <c r="A300" s="1" t="s">
        <v>305</v>
      </c>
      <c r="B300" s="1" t="s">
        <v>228</v>
      </c>
      <c r="C300" s="2">
        <v>4.3000000000000007</v>
      </c>
      <c r="D300" s="2">
        <v>1</v>
      </c>
      <c r="E300" s="2">
        <v>2.5</v>
      </c>
      <c r="F300" s="2">
        <v>1.1000000000000001</v>
      </c>
      <c r="G300" s="2">
        <v>0</v>
      </c>
      <c r="H300" s="2">
        <v>0</v>
      </c>
      <c r="I300" s="2">
        <v>0</v>
      </c>
      <c r="J300" s="2">
        <v>0</v>
      </c>
      <c r="K300" s="2">
        <v>1.1000000000000001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1.3</v>
      </c>
      <c r="S300" s="2">
        <v>0</v>
      </c>
      <c r="T300" s="2">
        <v>0</v>
      </c>
      <c r="U300" s="1">
        <f>COUNTIF(C300:T300,"&gt;"&amp;VLOOKUP(B300,MetaTable,3,FALSE))</f>
        <v>0</v>
      </c>
      <c r="V300">
        <v>11.3</v>
      </c>
      <c r="W300">
        <f t="shared" si="4"/>
        <v>2.2600000000000002</v>
      </c>
    </row>
    <row r="301" spans="1:23" x14ac:dyDescent="0.45">
      <c r="A301" s="1" t="s">
        <v>306</v>
      </c>
      <c r="B301" s="1" t="s">
        <v>228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6.7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1.7000000000000002</v>
      </c>
      <c r="T301" s="2">
        <v>2.1</v>
      </c>
      <c r="U301" s="1">
        <f>COUNTIF(C301:T301,"&gt;"&amp;VLOOKUP(B301,MetaTable,3,FALSE))</f>
        <v>0</v>
      </c>
      <c r="V301">
        <v>10.5</v>
      </c>
      <c r="W301">
        <f t="shared" si="4"/>
        <v>3.5</v>
      </c>
    </row>
    <row r="302" spans="1:23" x14ac:dyDescent="0.45">
      <c r="A302" s="1" t="s">
        <v>307</v>
      </c>
      <c r="B302" s="1" t="s">
        <v>228</v>
      </c>
      <c r="C302" s="2">
        <v>0</v>
      </c>
      <c r="D302" s="2">
        <v>1</v>
      </c>
      <c r="E302" s="2">
        <v>0</v>
      </c>
      <c r="F302" s="2">
        <v>1.4</v>
      </c>
      <c r="G302" s="2">
        <v>0</v>
      </c>
      <c r="H302" s="2">
        <v>0</v>
      </c>
      <c r="I302" s="2">
        <v>0</v>
      </c>
      <c r="J302" s="2">
        <v>2.5</v>
      </c>
      <c r="K302" s="2">
        <v>0</v>
      </c>
      <c r="L302" s="2">
        <v>0</v>
      </c>
      <c r="M302" s="2">
        <v>2.7</v>
      </c>
      <c r="N302" s="2">
        <v>-0.19999999999999996</v>
      </c>
      <c r="O302" s="2">
        <v>0</v>
      </c>
      <c r="P302" s="2">
        <v>0</v>
      </c>
      <c r="Q302" s="2">
        <v>1.1000000000000001</v>
      </c>
      <c r="R302" s="2">
        <v>0</v>
      </c>
      <c r="S302" s="2">
        <v>1.9000000000000001</v>
      </c>
      <c r="T302" s="2">
        <v>0</v>
      </c>
      <c r="U302" s="1">
        <f>COUNTIF(C302:T302,"&gt;"&amp;VLOOKUP(B302,MetaTable,3,FALSE))</f>
        <v>0</v>
      </c>
      <c r="V302">
        <v>10.4</v>
      </c>
      <c r="W302">
        <f t="shared" si="4"/>
        <v>2.08</v>
      </c>
    </row>
    <row r="303" spans="1:23" x14ac:dyDescent="0.45">
      <c r="A303" s="1" t="s">
        <v>308</v>
      </c>
      <c r="B303" s="1" t="s">
        <v>228</v>
      </c>
      <c r="C303" s="2">
        <v>0</v>
      </c>
      <c r="D303" s="2">
        <v>1.3</v>
      </c>
      <c r="E303" s="2">
        <v>0.8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0.9</v>
      </c>
      <c r="L303" s="2">
        <v>1.1000000000000001</v>
      </c>
      <c r="M303" s="2">
        <v>0.8</v>
      </c>
      <c r="N303" s="2">
        <v>1.3</v>
      </c>
      <c r="O303" s="2">
        <v>1.3</v>
      </c>
      <c r="P303" s="2">
        <v>0</v>
      </c>
      <c r="Q303" s="2">
        <v>1.3</v>
      </c>
      <c r="R303" s="2">
        <v>1</v>
      </c>
      <c r="S303" s="2">
        <v>0</v>
      </c>
      <c r="T303" s="2">
        <v>0</v>
      </c>
      <c r="U303" s="1">
        <f>COUNTIF(C303:T303,"&gt;"&amp;VLOOKUP(B303,MetaTable,3,FALSE))</f>
        <v>0</v>
      </c>
      <c r="V303">
        <v>9.8000000000000007</v>
      </c>
      <c r="W303">
        <f t="shared" si="4"/>
        <v>1.9600000000000002</v>
      </c>
    </row>
    <row r="304" spans="1:23" x14ac:dyDescent="0.45">
      <c r="A304" s="1" t="s">
        <v>309</v>
      </c>
      <c r="B304" s="1" t="s">
        <v>228</v>
      </c>
      <c r="C304" s="2">
        <v>0</v>
      </c>
      <c r="D304" s="2">
        <v>0</v>
      </c>
      <c r="E304" s="2">
        <v>0</v>
      </c>
      <c r="F304" s="2">
        <v>0</v>
      </c>
      <c r="G304" s="2">
        <v>2.6</v>
      </c>
      <c r="H304" s="2">
        <v>0</v>
      </c>
      <c r="I304" s="2">
        <v>1</v>
      </c>
      <c r="J304" s="2">
        <v>2.2999999999999998</v>
      </c>
      <c r="K304" s="2">
        <v>0.9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2.7</v>
      </c>
      <c r="R304" s="2">
        <v>0</v>
      </c>
      <c r="S304" s="2">
        <v>0</v>
      </c>
      <c r="T304" s="2">
        <v>0</v>
      </c>
      <c r="U304" s="1">
        <f>COUNTIF(C304:T304,"&gt;"&amp;VLOOKUP(B304,MetaTable,3,FALSE))</f>
        <v>0</v>
      </c>
      <c r="V304">
        <v>9.5</v>
      </c>
      <c r="W304">
        <f t="shared" si="4"/>
        <v>3.1666666666666665</v>
      </c>
    </row>
    <row r="305" spans="1:23" x14ac:dyDescent="0.45">
      <c r="A305" s="1" t="s">
        <v>310</v>
      </c>
      <c r="B305" s="1" t="s">
        <v>228</v>
      </c>
      <c r="C305" s="2">
        <v>0</v>
      </c>
      <c r="D305" s="2">
        <v>0</v>
      </c>
      <c r="E305" s="2">
        <v>1.4</v>
      </c>
      <c r="F305" s="2">
        <v>0.8</v>
      </c>
      <c r="G305" s="2">
        <v>1.2000000000000002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2.9000000000000004</v>
      </c>
      <c r="O305" s="2">
        <v>0</v>
      </c>
      <c r="P305" s="2">
        <v>1.1000000000000001</v>
      </c>
      <c r="Q305" s="2">
        <v>0</v>
      </c>
      <c r="R305" s="2">
        <v>2.2000000000000002</v>
      </c>
      <c r="S305" s="2">
        <v>-1.1000000000000001</v>
      </c>
      <c r="T305" s="2">
        <v>0</v>
      </c>
      <c r="U305" s="1">
        <f>COUNTIF(C305:T305,"&gt;"&amp;VLOOKUP(B305,MetaTable,3,FALSE))</f>
        <v>0</v>
      </c>
      <c r="V305">
        <v>8.5</v>
      </c>
      <c r="W305">
        <f t="shared" si="4"/>
        <v>1.7</v>
      </c>
    </row>
    <row r="306" spans="1:23" x14ac:dyDescent="0.45">
      <c r="A306" s="1" t="s">
        <v>311</v>
      </c>
      <c r="B306" s="1" t="s">
        <v>228</v>
      </c>
      <c r="C306" s="2">
        <v>0.9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1.8</v>
      </c>
      <c r="K306" s="2">
        <v>0</v>
      </c>
      <c r="L306" s="2">
        <v>0</v>
      </c>
      <c r="M306" s="2">
        <v>0</v>
      </c>
      <c r="N306" s="2">
        <v>0</v>
      </c>
      <c r="O306" s="2">
        <v>1</v>
      </c>
      <c r="P306" s="2">
        <v>1.6</v>
      </c>
      <c r="Q306" s="2">
        <v>1.7000000000000002</v>
      </c>
      <c r="R306" s="2">
        <v>0</v>
      </c>
      <c r="S306" s="2">
        <v>1.1000000000000001</v>
      </c>
      <c r="T306" s="2">
        <v>0</v>
      </c>
      <c r="U306" s="1">
        <f>COUNTIF(C306:T306,"&gt;"&amp;VLOOKUP(B306,MetaTable,3,FALSE))</f>
        <v>0</v>
      </c>
      <c r="V306">
        <v>8.1</v>
      </c>
      <c r="W306">
        <f t="shared" si="4"/>
        <v>2.0249999999999999</v>
      </c>
    </row>
    <row r="307" spans="1:23" x14ac:dyDescent="0.45">
      <c r="A307" s="1" t="s">
        <v>312</v>
      </c>
      <c r="B307" s="1" t="s">
        <v>228</v>
      </c>
      <c r="C307" s="2">
        <v>0</v>
      </c>
      <c r="D307" s="2">
        <v>1.1000000000000001</v>
      </c>
      <c r="E307" s="2">
        <v>0.8</v>
      </c>
      <c r="F307" s="2">
        <v>2.8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0.9</v>
      </c>
      <c r="T307" s="2">
        <v>2.4000000000000004</v>
      </c>
      <c r="U307" s="1">
        <f>COUNTIF(C307:T307,"&gt;"&amp;VLOOKUP(B307,MetaTable,3,FALSE))</f>
        <v>0</v>
      </c>
      <c r="V307">
        <v>8</v>
      </c>
      <c r="W307">
        <f t="shared" si="4"/>
        <v>2.6666666666666665</v>
      </c>
    </row>
    <row r="308" spans="1:23" x14ac:dyDescent="0.45">
      <c r="A308" s="1" t="s">
        <v>313</v>
      </c>
      <c r="B308" s="1" t="s">
        <v>228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1.4</v>
      </c>
      <c r="L308" s="2">
        <v>1.1000000000000001</v>
      </c>
      <c r="M308" s="2">
        <v>1.6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3.5</v>
      </c>
      <c r="U308" s="1">
        <f>COUNTIF(C308:T308,"&gt;"&amp;VLOOKUP(B308,MetaTable,3,FALSE))</f>
        <v>0</v>
      </c>
      <c r="V308">
        <v>7.6</v>
      </c>
      <c r="W308">
        <f t="shared" si="4"/>
        <v>1.9</v>
      </c>
    </row>
    <row r="309" spans="1:23" x14ac:dyDescent="0.45">
      <c r="A309" s="1" t="s">
        <v>314</v>
      </c>
      <c r="B309" s="1" t="s">
        <v>228</v>
      </c>
      <c r="C309" s="2">
        <v>0.4</v>
      </c>
      <c r="D309" s="2">
        <v>1.1000000000000001</v>
      </c>
      <c r="E309" s="2">
        <v>0</v>
      </c>
      <c r="F309" s="2">
        <v>0</v>
      </c>
      <c r="G309" s="2">
        <v>3.2</v>
      </c>
      <c r="H309" s="2">
        <v>0</v>
      </c>
      <c r="I309" s="2">
        <v>0</v>
      </c>
      <c r="J309" s="2">
        <v>0.8</v>
      </c>
      <c r="K309" s="2">
        <v>1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1.1000000000000001</v>
      </c>
      <c r="S309" s="2">
        <v>0</v>
      </c>
      <c r="T309" s="2">
        <v>0</v>
      </c>
      <c r="U309" s="1">
        <f>COUNTIF(C309:T309,"&gt;"&amp;VLOOKUP(B309,MetaTable,3,FALSE))</f>
        <v>0</v>
      </c>
      <c r="V309">
        <v>7.6</v>
      </c>
      <c r="W309">
        <f t="shared" si="4"/>
        <v>2.5333333333333332</v>
      </c>
    </row>
    <row r="310" spans="1:23" x14ac:dyDescent="0.45">
      <c r="A310" s="1" t="s">
        <v>315</v>
      </c>
      <c r="B310" s="1" t="s">
        <v>228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1.1000000000000001</v>
      </c>
      <c r="N310" s="2">
        <v>1.2000000000000002</v>
      </c>
      <c r="O310" s="2">
        <v>0.6</v>
      </c>
      <c r="P310" s="2">
        <v>0.5</v>
      </c>
      <c r="Q310" s="2">
        <v>1.2000000000000002</v>
      </c>
      <c r="R310" s="2">
        <v>1.5</v>
      </c>
      <c r="S310" s="2">
        <v>1.3</v>
      </c>
      <c r="T310" s="2">
        <v>0</v>
      </c>
      <c r="U310" s="1">
        <f>COUNTIF(C310:T310,"&gt;"&amp;VLOOKUP(B310,MetaTable,3,FALSE))</f>
        <v>0</v>
      </c>
      <c r="V310">
        <v>7.4</v>
      </c>
      <c r="W310">
        <f t="shared" si="4"/>
        <v>1.48</v>
      </c>
    </row>
    <row r="311" spans="1:23" x14ac:dyDescent="0.45">
      <c r="A311" s="1" t="s">
        <v>316</v>
      </c>
      <c r="B311" s="1" t="s">
        <v>228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7.2</v>
      </c>
      <c r="U311" s="1">
        <f>COUNTIF(C311:T311,"&gt;"&amp;VLOOKUP(B311,MetaTable,3,FALSE))</f>
        <v>0</v>
      </c>
      <c r="V311">
        <v>7.2</v>
      </c>
      <c r="W311">
        <f t="shared" si="4"/>
        <v>7.2</v>
      </c>
    </row>
    <row r="312" spans="1:23" x14ac:dyDescent="0.45">
      <c r="A312" s="1" t="s">
        <v>317</v>
      </c>
      <c r="B312" s="1" t="s">
        <v>228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</v>
      </c>
      <c r="L312" s="2">
        <v>5.9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1">
        <f>COUNTIF(C312:T312,"&gt;"&amp;VLOOKUP(B312,MetaTable,3,FALSE))</f>
        <v>0</v>
      </c>
      <c r="V312">
        <v>6.9</v>
      </c>
      <c r="W312">
        <f t="shared" si="4"/>
        <v>6.9</v>
      </c>
    </row>
    <row r="313" spans="1:23" x14ac:dyDescent="0.45">
      <c r="A313" s="1" t="s">
        <v>318</v>
      </c>
      <c r="B313" s="1" t="s">
        <v>228</v>
      </c>
      <c r="C313" s="2">
        <v>0</v>
      </c>
      <c r="D313" s="2">
        <v>0</v>
      </c>
      <c r="E313" s="2">
        <v>0</v>
      </c>
      <c r="F313" s="2">
        <v>0</v>
      </c>
      <c r="G313" s="2">
        <v>1</v>
      </c>
      <c r="H313" s="2">
        <v>0</v>
      </c>
      <c r="I313" s="2">
        <v>0.6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1.4</v>
      </c>
      <c r="P313" s="2">
        <v>1.9000000000000001</v>
      </c>
      <c r="Q313" s="2">
        <v>1.8</v>
      </c>
      <c r="R313" s="2">
        <v>0</v>
      </c>
      <c r="S313" s="2">
        <v>0</v>
      </c>
      <c r="T313" s="2">
        <v>0</v>
      </c>
      <c r="U313" s="1">
        <f>COUNTIF(C313:T313,"&gt;"&amp;VLOOKUP(B313,MetaTable,3,FALSE))</f>
        <v>0</v>
      </c>
      <c r="V313">
        <v>6.7</v>
      </c>
      <c r="W313">
        <f t="shared" si="4"/>
        <v>2.2333333333333334</v>
      </c>
    </row>
    <row r="314" spans="1:23" x14ac:dyDescent="0.45">
      <c r="A314" s="1" t="s">
        <v>319</v>
      </c>
      <c r="B314" s="1" t="s">
        <v>228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4.8000000000000007</v>
      </c>
      <c r="I314" s="2">
        <v>0.7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0.7</v>
      </c>
      <c r="Q314" s="2">
        <v>0</v>
      </c>
      <c r="R314" s="2">
        <v>0</v>
      </c>
      <c r="S314" s="2">
        <v>0</v>
      </c>
      <c r="T314" s="2">
        <v>0</v>
      </c>
      <c r="U314" s="1">
        <f>COUNTIF(C314:T314,"&gt;"&amp;VLOOKUP(B314,MetaTable,3,FALSE))</f>
        <v>0</v>
      </c>
      <c r="V314">
        <v>6.2</v>
      </c>
      <c r="W314">
        <f t="shared" si="4"/>
        <v>6.2</v>
      </c>
    </row>
    <row r="315" spans="1:23" x14ac:dyDescent="0.45">
      <c r="A315" s="1" t="s">
        <v>320</v>
      </c>
      <c r="B315" s="1" t="s">
        <v>228</v>
      </c>
      <c r="C315" s="2">
        <v>2.2000000000000002</v>
      </c>
      <c r="D315" s="2">
        <v>3.1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1">
        <f>COUNTIF(C315:T315,"&gt;"&amp;VLOOKUP(B315,MetaTable,3,FALSE))</f>
        <v>0</v>
      </c>
      <c r="V315">
        <v>5.3</v>
      </c>
      <c r="W315">
        <f t="shared" si="4"/>
        <v>2.65</v>
      </c>
    </row>
    <row r="316" spans="1:23" x14ac:dyDescent="0.45">
      <c r="A316" s="1" t="s">
        <v>321</v>
      </c>
      <c r="B316" s="1" t="s">
        <v>228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0.5</v>
      </c>
      <c r="M316" s="2">
        <v>0</v>
      </c>
      <c r="N316" s="2">
        <v>0</v>
      </c>
      <c r="O316" s="2">
        <v>0</v>
      </c>
      <c r="P316" s="2">
        <v>0</v>
      </c>
      <c r="Q316" s="2">
        <v>2.2000000000000002</v>
      </c>
      <c r="R316" s="2">
        <v>0</v>
      </c>
      <c r="S316" s="2">
        <v>1.2000000000000002</v>
      </c>
      <c r="T316" s="2">
        <v>1.4</v>
      </c>
      <c r="U316" s="1">
        <f>COUNTIF(C316:T316,"&gt;"&amp;VLOOKUP(B316,MetaTable,3,FALSE))</f>
        <v>0</v>
      </c>
      <c r="V316">
        <v>5.3</v>
      </c>
      <c r="W316">
        <f t="shared" si="4"/>
        <v>1.7666666666666666</v>
      </c>
    </row>
    <row r="317" spans="1:23" x14ac:dyDescent="0.45">
      <c r="A317" s="1" t="s">
        <v>322</v>
      </c>
      <c r="B317" s="1" t="s">
        <v>228</v>
      </c>
      <c r="C317" s="2">
        <v>0</v>
      </c>
      <c r="D317" s="2">
        <v>0</v>
      </c>
      <c r="E317" s="2">
        <v>0</v>
      </c>
      <c r="F317" s="2">
        <v>0</v>
      </c>
      <c r="G317" s="2">
        <v>1.2000000000000002</v>
      </c>
      <c r="H317" s="2">
        <v>0</v>
      </c>
      <c r="I317" s="2">
        <v>1</v>
      </c>
      <c r="J317" s="2">
        <v>0</v>
      </c>
      <c r="K317" s="2">
        <v>0</v>
      </c>
      <c r="L317" s="2">
        <v>1.5</v>
      </c>
      <c r="M317" s="2">
        <v>0</v>
      </c>
      <c r="N317" s="2">
        <v>0</v>
      </c>
      <c r="O317" s="2">
        <v>1.2000000000000002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1">
        <f>COUNTIF(C317:T317,"&gt;"&amp;VLOOKUP(B317,MetaTable,3,FALSE))</f>
        <v>0</v>
      </c>
      <c r="V317">
        <v>4.9000000000000004</v>
      </c>
      <c r="W317">
        <f t="shared" si="4"/>
        <v>1.6333333333333335</v>
      </c>
    </row>
    <row r="318" spans="1:23" x14ac:dyDescent="0.45">
      <c r="A318" s="1" t="s">
        <v>323</v>
      </c>
      <c r="B318" s="1" t="s">
        <v>228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1.5</v>
      </c>
      <c r="Q318" s="2">
        <v>0</v>
      </c>
      <c r="R318" s="2">
        <v>0</v>
      </c>
      <c r="S318" s="2">
        <v>0</v>
      </c>
      <c r="T318" s="2">
        <v>2.1</v>
      </c>
      <c r="U318" s="1">
        <f>COUNTIF(C318:T318,"&gt;"&amp;VLOOKUP(B318,MetaTable,3,FALSE))</f>
        <v>0</v>
      </c>
      <c r="V318">
        <v>3.6</v>
      </c>
      <c r="W318">
        <f t="shared" si="4"/>
        <v>1.8</v>
      </c>
    </row>
    <row r="319" spans="1:23" x14ac:dyDescent="0.45">
      <c r="A319" s="1" t="s">
        <v>324</v>
      </c>
      <c r="B319" s="1" t="s">
        <v>228</v>
      </c>
      <c r="C319" s="2">
        <v>0</v>
      </c>
      <c r="D319" s="2">
        <v>0</v>
      </c>
      <c r="E319" s="2">
        <v>0.6</v>
      </c>
      <c r="F319" s="2">
        <v>2.5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1">
        <f>COUNTIF(C319:T319,"&gt;"&amp;VLOOKUP(B319,MetaTable,3,FALSE))</f>
        <v>0</v>
      </c>
      <c r="V319">
        <v>3.1</v>
      </c>
      <c r="W319">
        <f t="shared" si="4"/>
        <v>3.1</v>
      </c>
    </row>
    <row r="320" spans="1:23" x14ac:dyDescent="0.45">
      <c r="A320" s="1" t="s">
        <v>325</v>
      </c>
      <c r="B320" s="1" t="s">
        <v>228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0.6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2.4000000000000004</v>
      </c>
      <c r="U320" s="1">
        <f>COUNTIF(C320:T320,"&gt;"&amp;VLOOKUP(B320,MetaTable,3,FALSE))</f>
        <v>0</v>
      </c>
      <c r="V320">
        <v>3</v>
      </c>
      <c r="W320">
        <f t="shared" si="4"/>
        <v>3</v>
      </c>
    </row>
    <row r="321" spans="1:23" x14ac:dyDescent="0.45">
      <c r="A321" s="1" t="s">
        <v>326</v>
      </c>
      <c r="B321" s="1" t="s">
        <v>228</v>
      </c>
      <c r="C321" s="2">
        <v>0</v>
      </c>
      <c r="D321" s="2">
        <v>0</v>
      </c>
      <c r="E321" s="2">
        <v>1.3</v>
      </c>
      <c r="F321" s="2">
        <v>0</v>
      </c>
      <c r="G321" s="2">
        <v>0.7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0.9</v>
      </c>
      <c r="S321" s="2">
        <v>0</v>
      </c>
      <c r="T321" s="2">
        <v>0</v>
      </c>
      <c r="U321" s="1">
        <f>COUNTIF(C321:T321,"&gt;"&amp;VLOOKUP(B321,MetaTable,3,FALSE))</f>
        <v>0</v>
      </c>
      <c r="V321">
        <v>2.9</v>
      </c>
      <c r="W321">
        <f t="shared" si="4"/>
        <v>2.9</v>
      </c>
    </row>
    <row r="322" spans="1:23" x14ac:dyDescent="0.45">
      <c r="A322" s="1" t="s">
        <v>327</v>
      </c>
      <c r="B322" s="1" t="s">
        <v>228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2.7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1">
        <f>COUNTIF(C322:T322,"&gt;"&amp;VLOOKUP(B322,MetaTable,3,FALSE))</f>
        <v>0</v>
      </c>
      <c r="V322">
        <v>2.7</v>
      </c>
      <c r="W322">
        <f t="shared" si="4"/>
        <v>2.7</v>
      </c>
    </row>
    <row r="323" spans="1:23" x14ac:dyDescent="0.45">
      <c r="A323" s="1" t="s">
        <v>328</v>
      </c>
      <c r="B323" s="1" t="s">
        <v>228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1.4</v>
      </c>
      <c r="J323" s="2">
        <v>0</v>
      </c>
      <c r="K323" s="2">
        <v>0</v>
      </c>
      <c r="L323" s="2">
        <v>0.8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1">
        <f>COUNTIF(C323:T323,"&gt;"&amp;VLOOKUP(B323,MetaTable,3,FALSE))</f>
        <v>0</v>
      </c>
      <c r="V323">
        <v>2.2000000000000002</v>
      </c>
      <c r="W323">
        <f t="shared" ref="W323:W386" si="5">V323/MAX(1,COUNTIF(C323:T323,"&gt;1"))</f>
        <v>2.2000000000000002</v>
      </c>
    </row>
    <row r="324" spans="1:23" x14ac:dyDescent="0.45">
      <c r="A324" s="1" t="s">
        <v>329</v>
      </c>
      <c r="B324" s="1" t="s">
        <v>228</v>
      </c>
      <c r="C324" s="2">
        <v>0</v>
      </c>
      <c r="D324" s="2">
        <v>0</v>
      </c>
      <c r="E324" s="2">
        <v>0</v>
      </c>
      <c r="F324" s="2">
        <v>0.9</v>
      </c>
      <c r="G324" s="2">
        <v>0</v>
      </c>
      <c r="H324" s="2">
        <v>0</v>
      </c>
      <c r="I324" s="2">
        <v>0</v>
      </c>
      <c r="J324" s="2">
        <v>1.1000000000000001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1">
        <f>COUNTIF(C324:T324,"&gt;"&amp;VLOOKUP(B324,MetaTable,3,FALSE))</f>
        <v>0</v>
      </c>
      <c r="V324">
        <v>2</v>
      </c>
      <c r="W324">
        <f t="shared" si="5"/>
        <v>2</v>
      </c>
    </row>
    <row r="325" spans="1:23" x14ac:dyDescent="0.45">
      <c r="A325" s="1" t="s">
        <v>330</v>
      </c>
      <c r="B325" s="1" t="s">
        <v>228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1.2000000000000002</v>
      </c>
      <c r="J325" s="2">
        <v>0</v>
      </c>
      <c r="K325" s="2">
        <v>0.7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1">
        <f>COUNTIF(C325:T325,"&gt;"&amp;VLOOKUP(B325,MetaTable,3,FALSE))</f>
        <v>0</v>
      </c>
      <c r="V325">
        <v>1.9</v>
      </c>
      <c r="W325">
        <f t="shared" si="5"/>
        <v>1.9</v>
      </c>
    </row>
    <row r="326" spans="1:23" x14ac:dyDescent="0.45">
      <c r="A326" s="1" t="s">
        <v>331</v>
      </c>
      <c r="B326" s="1" t="s">
        <v>228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1.7000000000000002</v>
      </c>
      <c r="U326" s="1">
        <f>COUNTIF(C326:T326,"&gt;"&amp;VLOOKUP(B326,MetaTable,3,FALSE))</f>
        <v>0</v>
      </c>
      <c r="V326">
        <v>1.7</v>
      </c>
      <c r="W326">
        <f t="shared" si="5"/>
        <v>1.7</v>
      </c>
    </row>
    <row r="327" spans="1:23" x14ac:dyDescent="0.45">
      <c r="A327" s="1" t="s">
        <v>332</v>
      </c>
      <c r="B327" s="1" t="s">
        <v>228</v>
      </c>
      <c r="C327" s="2">
        <v>0.8</v>
      </c>
      <c r="D327" s="2">
        <v>0.9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1">
        <f>COUNTIF(C327:T327,"&gt;"&amp;VLOOKUP(B327,MetaTable,3,FALSE))</f>
        <v>0</v>
      </c>
      <c r="V327">
        <v>1.7</v>
      </c>
      <c r="W327">
        <f t="shared" si="5"/>
        <v>1.7</v>
      </c>
    </row>
    <row r="328" spans="1:23" x14ac:dyDescent="0.45">
      <c r="A328" s="1" t="s">
        <v>333</v>
      </c>
      <c r="B328" s="1" t="s">
        <v>228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1.2000000000000002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1">
        <f>COUNTIF(C328:T328,"&gt;"&amp;VLOOKUP(B328,MetaTable,3,FALSE))</f>
        <v>0</v>
      </c>
      <c r="V328">
        <v>1.2</v>
      </c>
      <c r="W328">
        <f t="shared" si="5"/>
        <v>1.2</v>
      </c>
    </row>
    <row r="329" spans="1:23" x14ac:dyDescent="0.45">
      <c r="A329" s="1" t="s">
        <v>334</v>
      </c>
      <c r="B329" s="1" t="s">
        <v>228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1.2000000000000002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1">
        <f>COUNTIF(C329:T329,"&gt;"&amp;VLOOKUP(B329,MetaTable,3,FALSE))</f>
        <v>0</v>
      </c>
      <c r="V329">
        <v>1.2</v>
      </c>
      <c r="W329">
        <f t="shared" si="5"/>
        <v>1.2</v>
      </c>
    </row>
    <row r="330" spans="1:23" x14ac:dyDescent="0.45">
      <c r="A330" s="1" t="s">
        <v>335</v>
      </c>
      <c r="B330" s="1" t="s">
        <v>228</v>
      </c>
      <c r="C330" s="2">
        <v>0</v>
      </c>
      <c r="D330" s="2">
        <v>1.2000000000000002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1">
        <f>COUNTIF(C330:T330,"&gt;"&amp;VLOOKUP(B330,MetaTable,3,FALSE))</f>
        <v>0</v>
      </c>
      <c r="V330">
        <v>1.2</v>
      </c>
      <c r="W330">
        <f t="shared" si="5"/>
        <v>1.2</v>
      </c>
    </row>
    <row r="331" spans="1:23" x14ac:dyDescent="0.45">
      <c r="A331" s="1" t="s">
        <v>336</v>
      </c>
      <c r="B331" s="1" t="s">
        <v>228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1.1000000000000001</v>
      </c>
      <c r="S331" s="2">
        <v>0</v>
      </c>
      <c r="T331" s="2">
        <v>0</v>
      </c>
      <c r="U331" s="1">
        <f>COUNTIF(C331:T331,"&gt;"&amp;VLOOKUP(B331,MetaTable,3,FALSE))</f>
        <v>0</v>
      </c>
      <c r="V331">
        <v>1.1000000000000001</v>
      </c>
      <c r="W331">
        <f t="shared" si="5"/>
        <v>1.1000000000000001</v>
      </c>
    </row>
    <row r="332" spans="1:23" x14ac:dyDescent="0.45">
      <c r="A332" s="1" t="s">
        <v>337</v>
      </c>
      <c r="B332" s="1" t="s">
        <v>228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1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1">
        <f>COUNTIF(C332:T332,"&gt;"&amp;VLOOKUP(B332,MetaTable,3,FALSE))</f>
        <v>0</v>
      </c>
      <c r="V332">
        <v>1</v>
      </c>
      <c r="W332">
        <f t="shared" si="5"/>
        <v>1</v>
      </c>
    </row>
    <row r="333" spans="1:23" x14ac:dyDescent="0.45">
      <c r="A333" s="1" t="s">
        <v>338</v>
      </c>
      <c r="B333" s="1" t="s">
        <v>228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1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1">
        <f>COUNTIF(C333:T333,"&gt;"&amp;VLOOKUP(B333,MetaTable,3,FALSE))</f>
        <v>0</v>
      </c>
      <c r="V333">
        <v>1</v>
      </c>
      <c r="W333">
        <f t="shared" si="5"/>
        <v>1</v>
      </c>
    </row>
    <row r="334" spans="1:23" x14ac:dyDescent="0.45">
      <c r="A334" s="1" t="s">
        <v>339</v>
      </c>
      <c r="B334" s="1" t="s">
        <v>228</v>
      </c>
      <c r="C334" s="2">
        <v>0</v>
      </c>
      <c r="D334" s="2">
        <v>0</v>
      </c>
      <c r="E334" s="2">
        <v>0</v>
      </c>
      <c r="F334" s="2">
        <v>0</v>
      </c>
      <c r="G334" s="2">
        <v>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1">
        <f>COUNTIF(C334:T334,"&gt;"&amp;VLOOKUP(B334,MetaTable,3,FALSE))</f>
        <v>0</v>
      </c>
      <c r="V334">
        <v>1</v>
      </c>
      <c r="W334">
        <f t="shared" si="5"/>
        <v>1</v>
      </c>
    </row>
    <row r="335" spans="1:23" x14ac:dyDescent="0.45">
      <c r="A335" s="1" t="s">
        <v>340</v>
      </c>
      <c r="B335" s="1" t="s">
        <v>228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0.7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1">
        <f>COUNTIF(C335:T335,"&gt;"&amp;VLOOKUP(B335,MetaTable,3,FALSE))</f>
        <v>0</v>
      </c>
      <c r="V335">
        <v>0.7</v>
      </c>
      <c r="W335">
        <f t="shared" si="5"/>
        <v>0.7</v>
      </c>
    </row>
    <row r="336" spans="1:23" x14ac:dyDescent="0.45">
      <c r="A336" s="1" t="s">
        <v>341</v>
      </c>
      <c r="B336" s="1" t="s">
        <v>228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0.7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1">
        <f>COUNTIF(C336:T336,"&gt;"&amp;VLOOKUP(B336,MetaTable,3,FALSE))</f>
        <v>0</v>
      </c>
      <c r="V336">
        <v>0.7</v>
      </c>
      <c r="W336">
        <f t="shared" si="5"/>
        <v>0.7</v>
      </c>
    </row>
    <row r="337" spans="1:23" x14ac:dyDescent="0.45">
      <c r="A337" s="1" t="s">
        <v>342</v>
      </c>
      <c r="B337" s="1" t="s">
        <v>343</v>
      </c>
      <c r="C337" s="2">
        <v>12.7</v>
      </c>
      <c r="D337" s="2">
        <v>10.4</v>
      </c>
      <c r="E337" s="2">
        <v>7.3000000000000007</v>
      </c>
      <c r="F337" s="2">
        <v>18.899999999999999</v>
      </c>
      <c r="G337" s="2">
        <v>20.700000000000003</v>
      </c>
      <c r="H337" s="2">
        <v>4.2</v>
      </c>
      <c r="I337" s="2">
        <v>19.600000000000001</v>
      </c>
      <c r="J337" s="2">
        <v>13.5</v>
      </c>
      <c r="K337" s="2">
        <v>5.2</v>
      </c>
      <c r="L337" s="2">
        <v>2.2000000000000002</v>
      </c>
      <c r="M337" s="2">
        <v>11.100000000000001</v>
      </c>
      <c r="N337" s="2">
        <v>0</v>
      </c>
      <c r="O337" s="2">
        <v>16.700000000000003</v>
      </c>
      <c r="P337" s="2">
        <v>12.6</v>
      </c>
      <c r="Q337" s="2">
        <v>27.5</v>
      </c>
      <c r="R337" s="2">
        <v>23.700000000000003</v>
      </c>
      <c r="S337" s="2">
        <v>20.399999999999999</v>
      </c>
      <c r="T337" s="2">
        <v>13.8</v>
      </c>
      <c r="U337" s="1">
        <f>COUNTIF(C337:T337,"&gt;"&amp;VLOOKUP(B337,MetaTable,3,FALSE))</f>
        <v>13</v>
      </c>
      <c r="V337">
        <v>240.5</v>
      </c>
      <c r="W337">
        <f t="shared" si="5"/>
        <v>14.147058823529411</v>
      </c>
    </row>
    <row r="338" spans="1:23" x14ac:dyDescent="0.45">
      <c r="A338" s="1" t="s">
        <v>344</v>
      </c>
      <c r="B338" s="1" t="s">
        <v>343</v>
      </c>
      <c r="C338" s="2">
        <v>2.7</v>
      </c>
      <c r="D338" s="2">
        <v>5.2</v>
      </c>
      <c r="E338" s="2">
        <v>18</v>
      </c>
      <c r="F338" s="2">
        <v>14.7</v>
      </c>
      <c r="G338" s="2">
        <v>11.400000000000002</v>
      </c>
      <c r="H338" s="2">
        <v>20.3</v>
      </c>
      <c r="I338" s="2">
        <v>12.8</v>
      </c>
      <c r="J338" s="2">
        <v>15</v>
      </c>
      <c r="K338" s="2">
        <v>14.9</v>
      </c>
      <c r="L338" s="2">
        <v>13.8</v>
      </c>
      <c r="M338" s="2">
        <v>1.5</v>
      </c>
      <c r="N338" s="2">
        <v>18.700000000000003</v>
      </c>
      <c r="O338" s="2">
        <v>23.3</v>
      </c>
      <c r="P338" s="2">
        <v>0</v>
      </c>
      <c r="Q338" s="2">
        <v>22.8</v>
      </c>
      <c r="R338" s="2">
        <v>14.5</v>
      </c>
      <c r="S338" s="2">
        <v>1</v>
      </c>
      <c r="T338" s="2">
        <v>16.2</v>
      </c>
      <c r="U338" s="1">
        <f>COUNTIF(C338:T338,"&gt;"&amp;VLOOKUP(B338,MetaTable,3,FALSE))</f>
        <v>13</v>
      </c>
      <c r="V338">
        <v>226.8</v>
      </c>
      <c r="W338">
        <f t="shared" si="5"/>
        <v>14.175000000000001</v>
      </c>
    </row>
    <row r="339" spans="1:23" x14ac:dyDescent="0.45">
      <c r="A339" s="1" t="s">
        <v>345</v>
      </c>
      <c r="B339" s="1" t="s">
        <v>343</v>
      </c>
      <c r="C339" s="2">
        <v>9.1000000000000014</v>
      </c>
      <c r="D339" s="2">
        <v>23.700000000000003</v>
      </c>
      <c r="E339" s="2">
        <v>24.200000000000003</v>
      </c>
      <c r="F339" s="2">
        <v>17.100000000000001</v>
      </c>
      <c r="G339" s="2">
        <v>0</v>
      </c>
      <c r="H339" s="2">
        <v>0</v>
      </c>
      <c r="I339" s="2">
        <v>6.1000000000000005</v>
      </c>
      <c r="J339" s="2">
        <v>10.600000000000001</v>
      </c>
      <c r="K339" s="2">
        <v>10.4</v>
      </c>
      <c r="L339" s="2">
        <v>7.8</v>
      </c>
      <c r="M339" s="2">
        <v>0</v>
      </c>
      <c r="N339" s="2">
        <v>9.4</v>
      </c>
      <c r="O339" s="2">
        <v>11.3</v>
      </c>
      <c r="P339" s="2">
        <v>12.4</v>
      </c>
      <c r="Q339" s="2">
        <v>19.200000000000003</v>
      </c>
      <c r="R339" s="2">
        <v>10.3</v>
      </c>
      <c r="S339" s="2">
        <v>32.6</v>
      </c>
      <c r="T339" s="2">
        <v>14.9</v>
      </c>
      <c r="U339" s="1">
        <f>COUNTIF(C339:T339,"&gt;"&amp;VLOOKUP(B339,MetaTable,3,FALSE))</f>
        <v>11</v>
      </c>
      <c r="V339">
        <v>219.1</v>
      </c>
      <c r="W339">
        <f t="shared" si="5"/>
        <v>14.606666666666666</v>
      </c>
    </row>
    <row r="340" spans="1:23" x14ac:dyDescent="0.45">
      <c r="A340" s="1" t="s">
        <v>346</v>
      </c>
      <c r="B340" s="1" t="s">
        <v>343</v>
      </c>
      <c r="C340" s="2">
        <v>9.1999999999999993</v>
      </c>
      <c r="D340" s="2">
        <v>5.5</v>
      </c>
      <c r="E340" s="2">
        <v>26.8</v>
      </c>
      <c r="F340" s="2">
        <v>16</v>
      </c>
      <c r="G340" s="2">
        <v>36.299999999999997</v>
      </c>
      <c r="H340" s="2">
        <v>9.6999999999999993</v>
      </c>
      <c r="I340" s="2">
        <v>15.1</v>
      </c>
      <c r="J340" s="2">
        <v>15.9</v>
      </c>
      <c r="K340" s="2">
        <v>7.8</v>
      </c>
      <c r="L340" s="2">
        <v>49.900000000000006</v>
      </c>
      <c r="M340" s="2">
        <v>23</v>
      </c>
      <c r="N340" s="2">
        <v>0</v>
      </c>
      <c r="O340" s="2">
        <v>17.600000000000001</v>
      </c>
      <c r="P340" s="2">
        <v>38.1</v>
      </c>
      <c r="Q340" s="2">
        <v>13.9</v>
      </c>
      <c r="R340" s="2">
        <v>19.400000000000002</v>
      </c>
      <c r="S340" s="2">
        <v>14.700000000000001</v>
      </c>
      <c r="T340" s="2">
        <v>20.6</v>
      </c>
      <c r="U340" s="1">
        <f>COUNTIF(C340:T340,"&gt;"&amp;VLOOKUP(B340,MetaTable,3,FALSE))</f>
        <v>13</v>
      </c>
      <c r="V340">
        <v>339.5</v>
      </c>
      <c r="W340">
        <f t="shared" si="5"/>
        <v>19.970588235294116</v>
      </c>
    </row>
    <row r="341" spans="1:23" x14ac:dyDescent="0.45">
      <c r="A341" s="1" t="s">
        <v>347</v>
      </c>
      <c r="B341" s="1" t="s">
        <v>343</v>
      </c>
      <c r="C341" s="2">
        <v>7.5</v>
      </c>
      <c r="D341" s="2">
        <v>8.3000000000000007</v>
      </c>
      <c r="E341" s="2">
        <v>11.200000000000001</v>
      </c>
      <c r="F341" s="2">
        <v>9.6999999999999993</v>
      </c>
      <c r="G341" s="2">
        <v>25</v>
      </c>
      <c r="H341" s="2">
        <v>4</v>
      </c>
      <c r="I341" s="2">
        <v>0</v>
      </c>
      <c r="J341" s="2">
        <v>4.4000000000000004</v>
      </c>
      <c r="K341" s="2">
        <v>5.3000000000000007</v>
      </c>
      <c r="L341" s="2">
        <v>4.2</v>
      </c>
      <c r="M341" s="2">
        <v>10.199999999999999</v>
      </c>
      <c r="N341" s="2">
        <v>23.400000000000002</v>
      </c>
      <c r="O341" s="2">
        <v>19.700000000000003</v>
      </c>
      <c r="P341" s="2">
        <v>7.9</v>
      </c>
      <c r="Q341" s="2">
        <v>11</v>
      </c>
      <c r="R341" s="2">
        <v>10.5</v>
      </c>
      <c r="S341" s="2">
        <v>9.1999999999999993</v>
      </c>
      <c r="T341" s="2">
        <v>17.600000000000001</v>
      </c>
      <c r="U341" s="1">
        <f>COUNTIF(C341:T341,"&gt;"&amp;VLOOKUP(B341,MetaTable,3,FALSE))</f>
        <v>8</v>
      </c>
      <c r="V341">
        <v>189.1</v>
      </c>
      <c r="W341">
        <f t="shared" si="5"/>
        <v>11.123529411764705</v>
      </c>
    </row>
    <row r="342" spans="1:23" x14ac:dyDescent="0.45">
      <c r="A342" s="1" t="s">
        <v>348</v>
      </c>
      <c r="B342" s="1" t="s">
        <v>343</v>
      </c>
      <c r="C342" s="2">
        <v>20.399999999999999</v>
      </c>
      <c r="D342" s="2">
        <v>0</v>
      </c>
      <c r="E342" s="2">
        <v>0</v>
      </c>
      <c r="F342" s="2">
        <v>0</v>
      </c>
      <c r="G342" s="2">
        <v>0</v>
      </c>
      <c r="H342" s="2">
        <v>20.6</v>
      </c>
      <c r="I342" s="2">
        <v>17.399999999999999</v>
      </c>
      <c r="J342" s="2">
        <v>10.9</v>
      </c>
      <c r="K342" s="2">
        <v>4.5999999999999996</v>
      </c>
      <c r="L342" s="2">
        <v>13.4</v>
      </c>
      <c r="M342" s="2">
        <v>9</v>
      </c>
      <c r="N342" s="2">
        <v>19.899999999999999</v>
      </c>
      <c r="O342" s="2">
        <v>9.1000000000000014</v>
      </c>
      <c r="P342" s="2">
        <v>6.3</v>
      </c>
      <c r="Q342" s="2">
        <v>21</v>
      </c>
      <c r="R342" s="2">
        <v>19.700000000000003</v>
      </c>
      <c r="S342" s="2">
        <v>11.1</v>
      </c>
      <c r="T342" s="2">
        <v>0</v>
      </c>
      <c r="U342" s="1">
        <f>COUNTIF(C342:T342,"&gt;"&amp;VLOOKUP(B342,MetaTable,3,FALSE))</f>
        <v>9</v>
      </c>
      <c r="V342">
        <v>183.4</v>
      </c>
      <c r="W342">
        <f t="shared" si="5"/>
        <v>14.107692307692307</v>
      </c>
    </row>
    <row r="343" spans="1:23" x14ac:dyDescent="0.45">
      <c r="A343" s="1" t="s">
        <v>349</v>
      </c>
      <c r="B343" s="1" t="s">
        <v>343</v>
      </c>
      <c r="C343" s="2">
        <v>13.9</v>
      </c>
      <c r="D343" s="2">
        <v>21.3</v>
      </c>
      <c r="E343" s="2">
        <v>17.100000000000001</v>
      </c>
      <c r="F343" s="2">
        <v>17.5</v>
      </c>
      <c r="G343" s="2">
        <v>12.200000000000001</v>
      </c>
      <c r="H343" s="2">
        <v>0</v>
      </c>
      <c r="I343" s="2">
        <v>17.899999999999999</v>
      </c>
      <c r="J343" s="2">
        <v>15.5</v>
      </c>
      <c r="K343" s="2">
        <v>18.080000000000002</v>
      </c>
      <c r="L343" s="2">
        <v>7.3000000000000007</v>
      </c>
      <c r="M343" s="2">
        <v>11.1</v>
      </c>
      <c r="N343" s="2">
        <v>3.7</v>
      </c>
      <c r="O343" s="2">
        <v>13.4</v>
      </c>
      <c r="P343" s="2">
        <v>28.700000000000003</v>
      </c>
      <c r="Q343" s="2">
        <v>16.8</v>
      </c>
      <c r="R343" s="2">
        <v>31.4</v>
      </c>
      <c r="S343" s="2">
        <v>13.200000000000001</v>
      </c>
      <c r="T343" s="2">
        <v>6.9</v>
      </c>
      <c r="U343" s="1">
        <f>COUNTIF(C343:T343,"&gt;"&amp;VLOOKUP(B343,MetaTable,3,FALSE))</f>
        <v>14</v>
      </c>
      <c r="V343">
        <v>265.98</v>
      </c>
      <c r="W343">
        <f t="shared" si="5"/>
        <v>15.645882352941177</v>
      </c>
    </row>
    <row r="344" spans="1:23" x14ac:dyDescent="0.45">
      <c r="A344" s="1" t="s">
        <v>350</v>
      </c>
      <c r="B344" s="1" t="s">
        <v>343</v>
      </c>
      <c r="C344" s="2">
        <v>2.8</v>
      </c>
      <c r="D344" s="2">
        <v>17.399999999999999</v>
      </c>
      <c r="E344" s="2">
        <v>17</v>
      </c>
      <c r="F344" s="2">
        <v>17.78</v>
      </c>
      <c r="G344" s="2">
        <v>0</v>
      </c>
      <c r="H344" s="2">
        <v>11.7</v>
      </c>
      <c r="I344" s="2">
        <v>21.200000000000003</v>
      </c>
      <c r="J344" s="2">
        <v>7.7</v>
      </c>
      <c r="K344" s="2">
        <v>15.100000000000001</v>
      </c>
      <c r="L344" s="2">
        <v>15</v>
      </c>
      <c r="M344" s="2">
        <v>33.200000000000003</v>
      </c>
      <c r="N344" s="2">
        <v>9.1999999999999993</v>
      </c>
      <c r="O344" s="2">
        <v>9.8000000000000007</v>
      </c>
      <c r="P344" s="2">
        <v>7.8</v>
      </c>
      <c r="Q344" s="2">
        <v>30.299999999999997</v>
      </c>
      <c r="R344" s="2">
        <v>16</v>
      </c>
      <c r="S344" s="2">
        <v>16</v>
      </c>
      <c r="T344" s="2">
        <v>10.7</v>
      </c>
      <c r="U344" s="1">
        <f>COUNTIF(C344:T344,"&gt;"&amp;VLOOKUP(B344,MetaTable,3,FALSE))</f>
        <v>12</v>
      </c>
      <c r="V344">
        <v>258.68</v>
      </c>
      <c r="W344">
        <f t="shared" si="5"/>
        <v>15.216470588235294</v>
      </c>
    </row>
    <row r="345" spans="1:23" x14ac:dyDescent="0.45">
      <c r="A345" s="1" t="s">
        <v>351</v>
      </c>
      <c r="B345" s="1" t="s">
        <v>343</v>
      </c>
      <c r="C345" s="2">
        <v>11.9</v>
      </c>
      <c r="D345" s="2">
        <v>17.100000000000001</v>
      </c>
      <c r="E345" s="2">
        <v>11.4</v>
      </c>
      <c r="F345" s="2">
        <v>0</v>
      </c>
      <c r="G345" s="2">
        <v>0</v>
      </c>
      <c r="H345" s="2">
        <v>13.9</v>
      </c>
      <c r="I345" s="2">
        <v>0.3</v>
      </c>
      <c r="J345" s="2">
        <v>17.5</v>
      </c>
      <c r="K345" s="2">
        <v>16.700000000000003</v>
      </c>
      <c r="L345" s="2">
        <v>2.4000000000000004</v>
      </c>
      <c r="M345" s="2">
        <v>4.9000000000000004</v>
      </c>
      <c r="N345" s="2">
        <v>0</v>
      </c>
      <c r="O345" s="2">
        <v>0</v>
      </c>
      <c r="P345" s="2">
        <v>11.7</v>
      </c>
      <c r="Q345" s="2">
        <v>22.5</v>
      </c>
      <c r="R345" s="2">
        <v>8.1000000000000014</v>
      </c>
      <c r="S345" s="2">
        <v>27</v>
      </c>
      <c r="T345" s="2">
        <v>0</v>
      </c>
      <c r="U345" s="1">
        <f>COUNTIF(C345:T345,"&gt;"&amp;VLOOKUP(B345,MetaTable,3,FALSE))</f>
        <v>9</v>
      </c>
      <c r="V345">
        <v>165.4</v>
      </c>
      <c r="W345">
        <f t="shared" si="5"/>
        <v>13.783333333333333</v>
      </c>
    </row>
    <row r="346" spans="1:23" x14ac:dyDescent="0.45">
      <c r="A346" s="1" t="s">
        <v>352</v>
      </c>
      <c r="B346" s="1" t="s">
        <v>343</v>
      </c>
      <c r="C346" s="2">
        <v>8.4</v>
      </c>
      <c r="D346" s="2">
        <v>21.5</v>
      </c>
      <c r="E346" s="2">
        <v>6</v>
      </c>
      <c r="F346" s="2">
        <v>0</v>
      </c>
      <c r="G346" s="2">
        <v>0</v>
      </c>
      <c r="H346" s="2">
        <v>0</v>
      </c>
      <c r="I346" s="2">
        <v>4.5</v>
      </c>
      <c r="J346" s="2">
        <v>7.4</v>
      </c>
      <c r="K346" s="2">
        <v>18.600000000000001</v>
      </c>
      <c r="L346" s="2">
        <v>6.1</v>
      </c>
      <c r="M346" s="2">
        <v>10.199999999999999</v>
      </c>
      <c r="N346" s="2">
        <v>0</v>
      </c>
      <c r="O346" s="2">
        <v>15.100000000000001</v>
      </c>
      <c r="P346" s="2">
        <v>21.4</v>
      </c>
      <c r="Q346" s="2">
        <v>38.299999999999997</v>
      </c>
      <c r="R346" s="2">
        <v>16.3</v>
      </c>
      <c r="S346" s="2">
        <v>7.2</v>
      </c>
      <c r="T346" s="2">
        <v>17.8</v>
      </c>
      <c r="U346" s="1">
        <f>COUNTIF(C346:T346,"&gt;"&amp;VLOOKUP(B346,MetaTable,3,FALSE))</f>
        <v>8</v>
      </c>
      <c r="V346">
        <v>198.8</v>
      </c>
      <c r="W346">
        <f t="shared" si="5"/>
        <v>14.200000000000001</v>
      </c>
    </row>
    <row r="347" spans="1:23" x14ac:dyDescent="0.45">
      <c r="A347" s="1" t="s">
        <v>353</v>
      </c>
      <c r="B347" s="1" t="s">
        <v>343</v>
      </c>
      <c r="C347" s="2">
        <v>6.5</v>
      </c>
      <c r="D347" s="2">
        <v>22.7</v>
      </c>
      <c r="E347" s="2">
        <v>1.4</v>
      </c>
      <c r="F347" s="2">
        <v>2</v>
      </c>
      <c r="G347" s="2">
        <v>0</v>
      </c>
      <c r="H347" s="2">
        <v>0.9</v>
      </c>
      <c r="I347" s="2">
        <v>5.7</v>
      </c>
      <c r="J347" s="2">
        <v>17.600000000000001</v>
      </c>
      <c r="K347" s="2">
        <v>9.8000000000000007</v>
      </c>
      <c r="L347" s="2">
        <v>22.9</v>
      </c>
      <c r="M347" s="2">
        <v>7.8000000000000007</v>
      </c>
      <c r="N347" s="2">
        <v>11.8</v>
      </c>
      <c r="O347" s="2">
        <v>5.5</v>
      </c>
      <c r="P347" s="2">
        <v>9.4</v>
      </c>
      <c r="Q347" s="2">
        <v>7.5000000000000009</v>
      </c>
      <c r="R347" s="2">
        <v>15.3</v>
      </c>
      <c r="S347" s="2">
        <v>11.600000000000001</v>
      </c>
      <c r="T347" s="2">
        <v>8.8000000000000007</v>
      </c>
      <c r="U347" s="1">
        <f>COUNTIF(C347:T347,"&gt;"&amp;VLOOKUP(B347,MetaTable,3,FALSE))</f>
        <v>6</v>
      </c>
      <c r="V347">
        <v>167.2</v>
      </c>
      <c r="W347">
        <f t="shared" si="5"/>
        <v>10.45</v>
      </c>
    </row>
    <row r="348" spans="1:23" x14ac:dyDescent="0.45">
      <c r="A348" s="1" t="s">
        <v>354</v>
      </c>
      <c r="B348" s="1" t="s">
        <v>343</v>
      </c>
      <c r="C348" s="2">
        <v>0</v>
      </c>
      <c r="D348" s="2">
        <v>0</v>
      </c>
      <c r="E348" s="2">
        <v>5.4</v>
      </c>
      <c r="F348" s="2">
        <v>9</v>
      </c>
      <c r="G348" s="2">
        <v>24.8</v>
      </c>
      <c r="H348" s="2">
        <v>11.2</v>
      </c>
      <c r="I348" s="2">
        <v>16.200000000000003</v>
      </c>
      <c r="J348" s="2">
        <v>0</v>
      </c>
      <c r="K348" s="2">
        <v>0</v>
      </c>
      <c r="L348" s="2">
        <v>0</v>
      </c>
      <c r="M348" s="2">
        <v>25.3</v>
      </c>
      <c r="N348" s="2">
        <v>0</v>
      </c>
      <c r="O348" s="2">
        <v>15.4</v>
      </c>
      <c r="P348" s="2">
        <v>3.3000000000000003</v>
      </c>
      <c r="Q348" s="2">
        <v>17.3</v>
      </c>
      <c r="R348" s="2">
        <v>15.8</v>
      </c>
      <c r="S348" s="2">
        <v>34.6</v>
      </c>
      <c r="T348" s="2">
        <v>7.3000000000000007</v>
      </c>
      <c r="U348" s="1">
        <f>COUNTIF(C348:T348,"&gt;"&amp;VLOOKUP(B348,MetaTable,3,FALSE))</f>
        <v>8</v>
      </c>
      <c r="V348">
        <v>185.6</v>
      </c>
      <c r="W348">
        <f t="shared" si="5"/>
        <v>15.466666666666667</v>
      </c>
    </row>
    <row r="349" spans="1:23" x14ac:dyDescent="0.45">
      <c r="A349" s="1" t="s">
        <v>355</v>
      </c>
      <c r="B349" s="1" t="s">
        <v>343</v>
      </c>
      <c r="C349" s="2">
        <v>20.6</v>
      </c>
      <c r="D349" s="2">
        <v>5.7</v>
      </c>
      <c r="E349" s="2">
        <v>2.7</v>
      </c>
      <c r="F349" s="2">
        <v>19.399999999999999</v>
      </c>
      <c r="G349" s="2">
        <v>20.7</v>
      </c>
      <c r="H349" s="2">
        <v>4.4000000000000004</v>
      </c>
      <c r="I349" s="2">
        <v>9</v>
      </c>
      <c r="J349" s="2">
        <v>0</v>
      </c>
      <c r="K349" s="2">
        <v>0</v>
      </c>
      <c r="L349" s="2">
        <v>0</v>
      </c>
      <c r="M349" s="2">
        <v>0</v>
      </c>
      <c r="N349" s="2">
        <v>9.3000000000000007</v>
      </c>
      <c r="O349" s="2">
        <v>21.8</v>
      </c>
      <c r="P349" s="2">
        <v>8.9</v>
      </c>
      <c r="Q349" s="2">
        <v>32.4</v>
      </c>
      <c r="R349" s="2">
        <v>9.4</v>
      </c>
      <c r="S349" s="2">
        <v>25.700000000000003</v>
      </c>
      <c r="T349" s="2">
        <v>13.4</v>
      </c>
      <c r="U349" s="1">
        <f>COUNTIF(C349:T349,"&gt;"&amp;VLOOKUP(B349,MetaTable,3,FALSE))</f>
        <v>7</v>
      </c>
      <c r="V349">
        <v>203.4</v>
      </c>
      <c r="W349">
        <f t="shared" si="5"/>
        <v>14.528571428571428</v>
      </c>
    </row>
    <row r="350" spans="1:23" x14ac:dyDescent="0.45">
      <c r="A350" s="1" t="s">
        <v>356</v>
      </c>
      <c r="B350" s="1" t="s">
        <v>343</v>
      </c>
      <c r="C350" s="2">
        <v>2.9000000000000004</v>
      </c>
      <c r="D350" s="2">
        <v>17.700000000000003</v>
      </c>
      <c r="E350" s="2">
        <v>5.4</v>
      </c>
      <c r="F350" s="2">
        <v>9.1000000000000014</v>
      </c>
      <c r="G350" s="2">
        <v>11.1</v>
      </c>
      <c r="H350" s="2">
        <v>7.8000000000000007</v>
      </c>
      <c r="I350" s="2">
        <v>3.8000000000000003</v>
      </c>
      <c r="J350" s="2">
        <v>9.9</v>
      </c>
      <c r="K350" s="2">
        <v>33.5</v>
      </c>
      <c r="L350" s="2">
        <v>0</v>
      </c>
      <c r="M350" s="2">
        <v>16.8</v>
      </c>
      <c r="N350" s="2">
        <v>16.7</v>
      </c>
      <c r="O350" s="2">
        <v>9.9</v>
      </c>
      <c r="P350" s="2">
        <v>17.100000000000001</v>
      </c>
      <c r="Q350" s="2">
        <v>13.3</v>
      </c>
      <c r="R350" s="2">
        <v>20</v>
      </c>
      <c r="S350" s="2">
        <v>4.7</v>
      </c>
      <c r="T350" s="2">
        <v>3.3</v>
      </c>
      <c r="U350" s="1">
        <f>COUNTIF(C350:T350,"&gt;"&amp;VLOOKUP(B350,MetaTable,3,FALSE))</f>
        <v>8</v>
      </c>
      <c r="V350">
        <v>203</v>
      </c>
      <c r="W350">
        <f t="shared" si="5"/>
        <v>11.941176470588236</v>
      </c>
    </row>
    <row r="351" spans="1:23" x14ac:dyDescent="0.45">
      <c r="A351" s="1" t="s">
        <v>357</v>
      </c>
      <c r="B351" s="1" t="s">
        <v>343</v>
      </c>
      <c r="C351" s="2">
        <v>2.5</v>
      </c>
      <c r="D351" s="2">
        <v>14.4</v>
      </c>
      <c r="E351" s="2">
        <v>15.7</v>
      </c>
      <c r="F351" s="2">
        <v>9.4</v>
      </c>
      <c r="G351" s="2">
        <v>27.4</v>
      </c>
      <c r="H351" s="2">
        <v>16.399999999999999</v>
      </c>
      <c r="I351" s="2">
        <v>15.3</v>
      </c>
      <c r="J351" s="2">
        <v>5.4</v>
      </c>
      <c r="K351" s="2">
        <v>9.6999999999999993</v>
      </c>
      <c r="L351" s="2">
        <v>13.700000000000001</v>
      </c>
      <c r="M351" s="2">
        <v>7.6000000000000005</v>
      </c>
      <c r="N351" s="2">
        <v>0</v>
      </c>
      <c r="O351" s="2">
        <v>12.8</v>
      </c>
      <c r="P351" s="2">
        <v>9.5</v>
      </c>
      <c r="Q351" s="2">
        <v>12.8</v>
      </c>
      <c r="R351" s="2">
        <v>8.4</v>
      </c>
      <c r="S351" s="2">
        <v>14.100000000000001</v>
      </c>
      <c r="T351" s="2">
        <v>35.700000000000003</v>
      </c>
      <c r="U351" s="1">
        <f>COUNTIF(C351:T351,"&gt;"&amp;VLOOKUP(B351,MetaTable,3,FALSE))</f>
        <v>10</v>
      </c>
      <c r="V351">
        <v>230.8</v>
      </c>
      <c r="W351">
        <f t="shared" si="5"/>
        <v>13.576470588235296</v>
      </c>
    </row>
    <row r="352" spans="1:23" x14ac:dyDescent="0.45">
      <c r="A352" s="1" t="s">
        <v>358</v>
      </c>
      <c r="B352" s="1" t="s">
        <v>343</v>
      </c>
      <c r="C352" s="2">
        <v>11.100000000000001</v>
      </c>
      <c r="D352" s="2">
        <v>17</v>
      </c>
      <c r="E352" s="2">
        <v>6.6999999999999993</v>
      </c>
      <c r="F352" s="2">
        <v>20.100000000000001</v>
      </c>
      <c r="G352" s="2">
        <v>8.9</v>
      </c>
      <c r="H352" s="2">
        <v>12.600000000000001</v>
      </c>
      <c r="I352" s="2">
        <v>0</v>
      </c>
      <c r="J352" s="2">
        <v>33.1</v>
      </c>
      <c r="K352" s="2">
        <v>12.2</v>
      </c>
      <c r="L352" s="2">
        <v>5.4</v>
      </c>
      <c r="M352" s="2">
        <v>14.600000000000001</v>
      </c>
      <c r="N352" s="2">
        <v>11.8</v>
      </c>
      <c r="O352" s="2">
        <v>4.9000000000000004</v>
      </c>
      <c r="P352" s="2">
        <v>18.399999999999999</v>
      </c>
      <c r="Q352" s="2">
        <v>22.1</v>
      </c>
      <c r="R352" s="2">
        <v>14</v>
      </c>
      <c r="S352" s="2">
        <v>0</v>
      </c>
      <c r="T352" s="2">
        <v>0</v>
      </c>
      <c r="U352" s="1">
        <f>COUNTIF(C352:T352,"&gt;"&amp;VLOOKUP(B352,MetaTable,3,FALSE))</f>
        <v>11</v>
      </c>
      <c r="V352">
        <v>212.9</v>
      </c>
      <c r="W352">
        <f t="shared" si="5"/>
        <v>14.193333333333333</v>
      </c>
    </row>
    <row r="353" spans="1:23" x14ac:dyDescent="0.45">
      <c r="A353" s="1" t="s">
        <v>359</v>
      </c>
      <c r="B353" s="1" t="s">
        <v>343</v>
      </c>
      <c r="C353" s="2">
        <v>12.4</v>
      </c>
      <c r="D353" s="2">
        <v>3.6</v>
      </c>
      <c r="E353" s="2">
        <v>5.9</v>
      </c>
      <c r="F353" s="2">
        <v>15.2</v>
      </c>
      <c r="G353" s="2">
        <v>0</v>
      </c>
      <c r="H353" s="2">
        <v>6.3</v>
      </c>
      <c r="I353" s="2">
        <v>7.1000000000000005</v>
      </c>
      <c r="J353" s="2">
        <v>26.1</v>
      </c>
      <c r="K353" s="2">
        <v>8.9</v>
      </c>
      <c r="L353" s="2">
        <v>6.2</v>
      </c>
      <c r="M353" s="2">
        <v>15.3</v>
      </c>
      <c r="N353" s="2">
        <v>11.3</v>
      </c>
      <c r="O353" s="2">
        <v>16.200000000000003</v>
      </c>
      <c r="P353" s="2">
        <v>0</v>
      </c>
      <c r="Q353" s="2">
        <v>14.3</v>
      </c>
      <c r="R353" s="2">
        <v>11.700000000000001</v>
      </c>
      <c r="S353" s="2">
        <v>25.4</v>
      </c>
      <c r="T353" s="2">
        <v>14</v>
      </c>
      <c r="U353" s="1">
        <f>COUNTIF(C353:T353,"&gt;"&amp;VLOOKUP(B353,MetaTable,3,FALSE))</f>
        <v>10</v>
      </c>
      <c r="V353">
        <v>199.9</v>
      </c>
      <c r="W353">
        <f t="shared" si="5"/>
        <v>12.49375</v>
      </c>
    </row>
    <row r="354" spans="1:23" x14ac:dyDescent="0.45">
      <c r="A354" s="1" t="s">
        <v>360</v>
      </c>
      <c r="B354" s="1" t="s">
        <v>343</v>
      </c>
      <c r="C354" s="2">
        <v>21.900000000000002</v>
      </c>
      <c r="D354" s="2">
        <v>11.9</v>
      </c>
      <c r="E354" s="2">
        <v>0.7</v>
      </c>
      <c r="F354" s="2">
        <v>15</v>
      </c>
      <c r="G354" s="2">
        <v>0</v>
      </c>
      <c r="H354" s="2">
        <v>16.200000000000003</v>
      </c>
      <c r="I354" s="2">
        <v>9.9999999999999978E-2</v>
      </c>
      <c r="J354" s="2">
        <v>0</v>
      </c>
      <c r="K354" s="2">
        <v>0</v>
      </c>
      <c r="L354" s="2">
        <v>6.8000000000000007</v>
      </c>
      <c r="M354" s="2">
        <v>20.6</v>
      </c>
      <c r="N354" s="2">
        <v>9.3000000000000007</v>
      </c>
      <c r="O354" s="2">
        <v>7.1</v>
      </c>
      <c r="P354" s="2">
        <v>10.5</v>
      </c>
      <c r="Q354" s="2">
        <v>11.2</v>
      </c>
      <c r="R354" s="2">
        <v>23.5</v>
      </c>
      <c r="S354" s="2">
        <v>22</v>
      </c>
      <c r="T354" s="2">
        <v>6.4</v>
      </c>
      <c r="U354" s="1">
        <f>COUNTIF(C354:T354,"&gt;"&amp;VLOOKUP(B354,MetaTable,3,FALSE))</f>
        <v>9</v>
      </c>
      <c r="V354">
        <v>183.2</v>
      </c>
      <c r="W354">
        <f t="shared" si="5"/>
        <v>14.092307692307692</v>
      </c>
    </row>
    <row r="355" spans="1:23" x14ac:dyDescent="0.45">
      <c r="A355" s="1" t="s">
        <v>361</v>
      </c>
      <c r="B355" s="1" t="s">
        <v>343</v>
      </c>
      <c r="C355" s="2">
        <v>14.700000000000001</v>
      </c>
      <c r="D355" s="2">
        <v>23.5</v>
      </c>
      <c r="E355" s="2">
        <v>10.6</v>
      </c>
      <c r="F355" s="2">
        <v>27.1</v>
      </c>
      <c r="G355" s="2">
        <v>14.8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7.4</v>
      </c>
      <c r="N355" s="2">
        <v>17.700000000000003</v>
      </c>
      <c r="O355" s="2">
        <v>15.9</v>
      </c>
      <c r="P355" s="2">
        <v>0</v>
      </c>
      <c r="Q355" s="2">
        <v>15.7</v>
      </c>
      <c r="R355" s="2">
        <v>9.5</v>
      </c>
      <c r="S355" s="2">
        <v>7.4</v>
      </c>
      <c r="T355" s="2">
        <v>12.3</v>
      </c>
      <c r="U355" s="1">
        <f>COUNTIF(C355:T355,"&gt;"&amp;VLOOKUP(B355,MetaTable,3,FALSE))</f>
        <v>9</v>
      </c>
      <c r="V355">
        <v>176.6</v>
      </c>
      <c r="W355">
        <f t="shared" si="5"/>
        <v>14.716666666666667</v>
      </c>
    </row>
    <row r="356" spans="1:23" x14ac:dyDescent="0.45">
      <c r="A356" s="1" t="s">
        <v>362</v>
      </c>
      <c r="B356" s="1" t="s">
        <v>343</v>
      </c>
      <c r="C356" s="2">
        <v>2</v>
      </c>
      <c r="D356" s="2">
        <v>16.3</v>
      </c>
      <c r="E356" s="2">
        <v>10.600000000000001</v>
      </c>
      <c r="F356" s="2">
        <v>7.1000000000000005</v>
      </c>
      <c r="G356" s="2">
        <v>27</v>
      </c>
      <c r="H356" s="2">
        <v>5.3000000000000007</v>
      </c>
      <c r="I356" s="2">
        <v>7.1000000000000005</v>
      </c>
      <c r="J356" s="2">
        <v>16.600000000000001</v>
      </c>
      <c r="K356" s="2">
        <v>17.3</v>
      </c>
      <c r="L356" s="2">
        <v>12.100000000000001</v>
      </c>
      <c r="M356" s="2">
        <v>3.7</v>
      </c>
      <c r="N356" s="2">
        <v>0</v>
      </c>
      <c r="O356" s="2">
        <v>3.5</v>
      </c>
      <c r="P356" s="2">
        <v>17.200000000000003</v>
      </c>
      <c r="Q356" s="2">
        <v>0</v>
      </c>
      <c r="R356" s="2">
        <v>10.700000000000001</v>
      </c>
      <c r="S356" s="2">
        <v>4.7</v>
      </c>
      <c r="T356" s="2">
        <v>0</v>
      </c>
      <c r="U356" s="1">
        <f>COUNTIF(C356:T356,"&gt;"&amp;VLOOKUP(B356,MetaTable,3,FALSE))</f>
        <v>8</v>
      </c>
      <c r="V356">
        <v>161.19999999999999</v>
      </c>
      <c r="W356">
        <f t="shared" si="5"/>
        <v>10.746666666666666</v>
      </c>
    </row>
    <row r="357" spans="1:23" x14ac:dyDescent="0.45">
      <c r="A357" s="1" t="s">
        <v>363</v>
      </c>
      <c r="B357" s="1" t="s">
        <v>343</v>
      </c>
      <c r="C357" s="2">
        <v>4.9000000000000004</v>
      </c>
      <c r="D357" s="2">
        <v>0</v>
      </c>
      <c r="E357" s="2">
        <v>0</v>
      </c>
      <c r="F357" s="2">
        <v>3.4000000000000004</v>
      </c>
      <c r="G357" s="2">
        <v>4.8000000000000007</v>
      </c>
      <c r="H357" s="2">
        <v>18.600000000000001</v>
      </c>
      <c r="I357" s="2">
        <v>0</v>
      </c>
      <c r="J357" s="2">
        <v>4.9000000000000004</v>
      </c>
      <c r="K357" s="2">
        <v>5.6</v>
      </c>
      <c r="L357" s="2">
        <v>6.9</v>
      </c>
      <c r="M357" s="2">
        <v>6.1000000000000005</v>
      </c>
      <c r="N357" s="2">
        <v>19.100000000000001</v>
      </c>
      <c r="O357" s="2">
        <v>21.8</v>
      </c>
      <c r="P357" s="2">
        <v>4.5</v>
      </c>
      <c r="Q357" s="2">
        <v>17.200000000000003</v>
      </c>
      <c r="R357" s="2">
        <v>24.6</v>
      </c>
      <c r="S357" s="2">
        <v>5</v>
      </c>
      <c r="T357" s="2">
        <v>2</v>
      </c>
      <c r="U357" s="1">
        <f>COUNTIF(C357:T357,"&gt;"&amp;VLOOKUP(B357,MetaTable,3,FALSE))</f>
        <v>5</v>
      </c>
      <c r="V357">
        <v>149.4</v>
      </c>
      <c r="W357">
        <f t="shared" si="5"/>
        <v>9.9600000000000009</v>
      </c>
    </row>
    <row r="358" spans="1:23" x14ac:dyDescent="0.45">
      <c r="A358" s="1" t="s">
        <v>364</v>
      </c>
      <c r="B358" s="1" t="s">
        <v>343</v>
      </c>
      <c r="C358" s="2">
        <v>25</v>
      </c>
      <c r="D358" s="2">
        <v>5.7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13.600000000000001</v>
      </c>
      <c r="K358" s="2">
        <v>15.9</v>
      </c>
      <c r="L358" s="2">
        <v>11.5</v>
      </c>
      <c r="M358" s="2">
        <v>25.6</v>
      </c>
      <c r="N358" s="2">
        <v>16</v>
      </c>
      <c r="O358" s="2">
        <v>3.2</v>
      </c>
      <c r="P358" s="2">
        <v>17.700000000000003</v>
      </c>
      <c r="Q358" s="2">
        <v>0</v>
      </c>
      <c r="R358" s="2">
        <v>3.9000000000000004</v>
      </c>
      <c r="S358" s="2">
        <v>3.4000000000000004</v>
      </c>
      <c r="T358" s="2">
        <v>0</v>
      </c>
      <c r="U358" s="1">
        <f>COUNTIF(C358:T358,"&gt;"&amp;VLOOKUP(B358,MetaTable,3,FALSE))</f>
        <v>7</v>
      </c>
      <c r="V358">
        <v>141.5</v>
      </c>
      <c r="W358">
        <f t="shared" si="5"/>
        <v>12.863636363636363</v>
      </c>
    </row>
    <row r="359" spans="1:23" x14ac:dyDescent="0.45">
      <c r="A359" s="1" t="s">
        <v>365</v>
      </c>
      <c r="B359" s="1" t="s">
        <v>343</v>
      </c>
      <c r="C359" s="2">
        <v>5.8000000000000007</v>
      </c>
      <c r="D359" s="2">
        <v>3.1</v>
      </c>
      <c r="E359" s="2">
        <v>10.3</v>
      </c>
      <c r="F359" s="2">
        <v>13.5</v>
      </c>
      <c r="G359" s="2">
        <v>4.2</v>
      </c>
      <c r="H359" s="2">
        <v>13.3</v>
      </c>
      <c r="I359" s="2">
        <v>0</v>
      </c>
      <c r="J359" s="2">
        <v>13.120000000000001</v>
      </c>
      <c r="K359" s="2">
        <v>19.78</v>
      </c>
      <c r="L359" s="2">
        <v>16</v>
      </c>
      <c r="M359" s="2">
        <v>11.3</v>
      </c>
      <c r="N359" s="2">
        <v>25.700000000000003</v>
      </c>
      <c r="O359" s="2">
        <v>13.200000000000001</v>
      </c>
      <c r="P359" s="2">
        <v>0</v>
      </c>
      <c r="Q359" s="2">
        <v>10.7</v>
      </c>
      <c r="R359" s="2">
        <v>7.5</v>
      </c>
      <c r="S359" s="2">
        <v>14</v>
      </c>
      <c r="T359" s="2">
        <v>18.3</v>
      </c>
      <c r="U359" s="1">
        <f>COUNTIF(C359:T359,"&gt;"&amp;VLOOKUP(B359,MetaTable,3,FALSE))</f>
        <v>12</v>
      </c>
      <c r="V359">
        <v>199.8</v>
      </c>
      <c r="W359">
        <f t="shared" si="5"/>
        <v>12.487500000000001</v>
      </c>
    </row>
    <row r="360" spans="1:23" x14ac:dyDescent="0.45">
      <c r="A360" s="1" t="s">
        <v>366</v>
      </c>
      <c r="B360" s="1" t="s">
        <v>343</v>
      </c>
      <c r="C360" s="2">
        <v>10</v>
      </c>
      <c r="D360" s="2">
        <v>9.8000000000000007</v>
      </c>
      <c r="E360" s="2">
        <v>6.7</v>
      </c>
      <c r="F360" s="2">
        <v>10.199999999999999</v>
      </c>
      <c r="G360" s="2">
        <v>2.1</v>
      </c>
      <c r="H360" s="2">
        <v>4</v>
      </c>
      <c r="I360" s="2">
        <v>2.2999999999999998</v>
      </c>
      <c r="J360" s="2">
        <v>10.4</v>
      </c>
      <c r="K360" s="2">
        <v>10.8</v>
      </c>
      <c r="L360" s="2">
        <v>0</v>
      </c>
      <c r="M360" s="2">
        <v>23.200000000000003</v>
      </c>
      <c r="N360" s="2">
        <v>11.5</v>
      </c>
      <c r="O360" s="2">
        <v>36</v>
      </c>
      <c r="P360" s="2">
        <v>14.9</v>
      </c>
      <c r="Q360" s="2">
        <v>16.3</v>
      </c>
      <c r="R360" s="2">
        <v>3</v>
      </c>
      <c r="S360" s="2">
        <v>15.4</v>
      </c>
      <c r="T360" s="2">
        <v>9.3000000000000007</v>
      </c>
      <c r="U360" s="1">
        <f>COUNTIF(C360:T360,"&gt;"&amp;VLOOKUP(B360,MetaTable,3,FALSE))</f>
        <v>9</v>
      </c>
      <c r="V360">
        <v>195.9</v>
      </c>
      <c r="W360">
        <f t="shared" si="5"/>
        <v>11.523529411764706</v>
      </c>
    </row>
    <row r="361" spans="1:23" x14ac:dyDescent="0.45">
      <c r="A361" s="1" t="s">
        <v>367</v>
      </c>
      <c r="B361" s="1" t="s">
        <v>343</v>
      </c>
      <c r="C361" s="2">
        <v>5</v>
      </c>
      <c r="D361" s="2">
        <v>0</v>
      </c>
      <c r="E361" s="2">
        <v>0</v>
      </c>
      <c r="F361" s="2">
        <v>21.4</v>
      </c>
      <c r="G361" s="2">
        <v>5.0999999999999996</v>
      </c>
      <c r="H361" s="2">
        <v>0</v>
      </c>
      <c r="I361" s="2">
        <v>8.1000000000000014</v>
      </c>
      <c r="J361" s="2">
        <v>3.2</v>
      </c>
      <c r="K361" s="2">
        <v>13.6</v>
      </c>
      <c r="L361" s="2">
        <v>3.9</v>
      </c>
      <c r="M361" s="2">
        <v>13.600000000000001</v>
      </c>
      <c r="N361" s="2">
        <v>26.2</v>
      </c>
      <c r="O361" s="2">
        <v>7.4</v>
      </c>
      <c r="P361" s="2">
        <v>35.299999999999997</v>
      </c>
      <c r="Q361" s="2">
        <v>9.8000000000000007</v>
      </c>
      <c r="R361" s="2">
        <v>12</v>
      </c>
      <c r="S361" s="2">
        <v>15.9</v>
      </c>
      <c r="T361" s="2">
        <v>0.5</v>
      </c>
      <c r="U361" s="1">
        <f>COUNTIF(C361:T361,"&gt;"&amp;VLOOKUP(B361,MetaTable,3,FALSE))</f>
        <v>7</v>
      </c>
      <c r="V361">
        <v>181</v>
      </c>
      <c r="W361">
        <f t="shared" si="5"/>
        <v>12.928571428571429</v>
      </c>
    </row>
    <row r="362" spans="1:23" x14ac:dyDescent="0.45">
      <c r="A362" s="1" t="s">
        <v>368</v>
      </c>
      <c r="B362" s="1" t="s">
        <v>343</v>
      </c>
      <c r="C362" s="2">
        <v>22.5</v>
      </c>
      <c r="D362" s="2">
        <v>5.1000000000000005</v>
      </c>
      <c r="E362" s="2">
        <v>5.5</v>
      </c>
      <c r="F362" s="2">
        <v>6.2000000000000011</v>
      </c>
      <c r="G362" s="2">
        <v>9.9</v>
      </c>
      <c r="H362" s="2">
        <v>0</v>
      </c>
      <c r="I362" s="2">
        <v>1.8</v>
      </c>
      <c r="J362" s="2">
        <v>10.199999999999999</v>
      </c>
      <c r="K362" s="2">
        <v>10</v>
      </c>
      <c r="L362" s="2">
        <v>10.199999999999999</v>
      </c>
      <c r="M362" s="2">
        <v>15.600000000000001</v>
      </c>
      <c r="N362" s="2">
        <v>7.3000000000000007</v>
      </c>
      <c r="O362" s="2">
        <v>17.3</v>
      </c>
      <c r="P362" s="2">
        <v>23.1</v>
      </c>
      <c r="Q362" s="2">
        <v>4.5999999999999996</v>
      </c>
      <c r="R362" s="2">
        <v>10.4</v>
      </c>
      <c r="S362" s="2">
        <v>15</v>
      </c>
      <c r="T362" s="2">
        <v>3</v>
      </c>
      <c r="U362" s="1">
        <f>COUNTIF(C362:T362,"&gt;"&amp;VLOOKUP(B362,MetaTable,3,FALSE))</f>
        <v>8</v>
      </c>
      <c r="V362">
        <v>177.7</v>
      </c>
      <c r="W362">
        <f t="shared" si="5"/>
        <v>10.452941176470588</v>
      </c>
    </row>
    <row r="363" spans="1:23" x14ac:dyDescent="0.45">
      <c r="A363" s="1" t="s">
        <v>369</v>
      </c>
      <c r="B363" s="1" t="s">
        <v>343</v>
      </c>
      <c r="C363" s="2">
        <v>8.1000000000000014</v>
      </c>
      <c r="D363" s="2">
        <v>18.600000000000001</v>
      </c>
      <c r="E363" s="2">
        <v>3.8</v>
      </c>
      <c r="F363" s="2">
        <v>1.5</v>
      </c>
      <c r="G363" s="2">
        <v>15.500000000000002</v>
      </c>
      <c r="H363" s="2">
        <v>17.900000000000002</v>
      </c>
      <c r="I363" s="2">
        <v>3.5000000000000004</v>
      </c>
      <c r="J363" s="2">
        <v>15</v>
      </c>
      <c r="K363" s="2">
        <v>27.200000000000003</v>
      </c>
      <c r="L363" s="2">
        <v>5.4</v>
      </c>
      <c r="M363" s="2">
        <v>10.9</v>
      </c>
      <c r="N363" s="2">
        <v>8.6999999999999993</v>
      </c>
      <c r="O363" s="2">
        <v>8.6</v>
      </c>
      <c r="P363" s="2">
        <v>0</v>
      </c>
      <c r="Q363" s="2">
        <v>8.3000000000000007</v>
      </c>
      <c r="R363" s="2">
        <v>12.8</v>
      </c>
      <c r="S363" s="2">
        <v>4.0999999999999996</v>
      </c>
      <c r="T363" s="2">
        <v>2.6</v>
      </c>
      <c r="U363" s="1">
        <f>COUNTIF(C363:T363,"&gt;"&amp;VLOOKUP(B363,MetaTable,3,FALSE))</f>
        <v>7</v>
      </c>
      <c r="V363">
        <v>172.5</v>
      </c>
      <c r="W363">
        <f t="shared" si="5"/>
        <v>10.147058823529411</v>
      </c>
    </row>
    <row r="364" spans="1:23" x14ac:dyDescent="0.45">
      <c r="A364" s="1" t="s">
        <v>370</v>
      </c>
      <c r="B364" s="1" t="s">
        <v>343</v>
      </c>
      <c r="C364" s="2">
        <v>6.2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14.600000000000001</v>
      </c>
      <c r="K364" s="2">
        <v>1.6</v>
      </c>
      <c r="L364" s="2">
        <v>14.3</v>
      </c>
      <c r="M364" s="2">
        <v>21.8</v>
      </c>
      <c r="N364" s="2">
        <v>16.200000000000003</v>
      </c>
      <c r="O364" s="2">
        <v>14.8</v>
      </c>
      <c r="P364" s="2">
        <v>35.799999999999997</v>
      </c>
      <c r="Q364" s="2">
        <v>14.3</v>
      </c>
      <c r="R364" s="2">
        <v>9.6000000000000014</v>
      </c>
      <c r="S364" s="2">
        <v>17.899999999999999</v>
      </c>
      <c r="T364" s="2">
        <v>0</v>
      </c>
      <c r="U364" s="1">
        <f>COUNTIF(C364:T364,"&gt;"&amp;VLOOKUP(B364,MetaTable,3,FALSE))</f>
        <v>8</v>
      </c>
      <c r="V364">
        <v>167.1</v>
      </c>
      <c r="W364">
        <f t="shared" si="5"/>
        <v>15.19090909090909</v>
      </c>
    </row>
    <row r="365" spans="1:23" x14ac:dyDescent="0.45">
      <c r="A365" s="1" t="s">
        <v>371</v>
      </c>
      <c r="B365" s="1" t="s">
        <v>343</v>
      </c>
      <c r="C365" s="2">
        <v>19.8</v>
      </c>
      <c r="D365" s="2">
        <v>3.2</v>
      </c>
      <c r="E365" s="2">
        <v>4</v>
      </c>
      <c r="F365" s="2">
        <v>14.8</v>
      </c>
      <c r="G365" s="2">
        <v>10.3</v>
      </c>
      <c r="H365" s="2">
        <v>0</v>
      </c>
      <c r="I365" s="2">
        <v>3.9000000000000004</v>
      </c>
      <c r="J365" s="2">
        <v>11.7</v>
      </c>
      <c r="K365" s="2">
        <v>-1</v>
      </c>
      <c r="L365" s="2">
        <v>1.6</v>
      </c>
      <c r="M365" s="2">
        <v>14.8</v>
      </c>
      <c r="N365" s="2">
        <v>7.1000000000000005</v>
      </c>
      <c r="O365" s="2">
        <v>7.9</v>
      </c>
      <c r="P365" s="2">
        <v>7.1000000000000005</v>
      </c>
      <c r="Q365" s="2">
        <v>16.600000000000001</v>
      </c>
      <c r="R365" s="2">
        <v>17</v>
      </c>
      <c r="S365" s="2">
        <v>18.899999999999999</v>
      </c>
      <c r="T365" s="2">
        <v>0</v>
      </c>
      <c r="U365" s="1">
        <f>COUNTIF(C365:T365,"&gt;"&amp;VLOOKUP(B365,MetaTable,3,FALSE))</f>
        <v>8</v>
      </c>
      <c r="V365">
        <v>157.69999999999999</v>
      </c>
      <c r="W365">
        <f t="shared" si="5"/>
        <v>10.513333333333332</v>
      </c>
    </row>
    <row r="366" spans="1:23" x14ac:dyDescent="0.45">
      <c r="A366" s="1" t="s">
        <v>372</v>
      </c>
      <c r="B366" s="1" t="s">
        <v>343</v>
      </c>
      <c r="C366" s="2">
        <v>0</v>
      </c>
      <c r="D366" s="2">
        <v>0</v>
      </c>
      <c r="E366" s="2">
        <v>3.7</v>
      </c>
      <c r="F366" s="2">
        <v>18.200000000000003</v>
      </c>
      <c r="G366" s="2">
        <v>11.4</v>
      </c>
      <c r="H366" s="2">
        <v>16</v>
      </c>
      <c r="I366" s="2">
        <v>0.8</v>
      </c>
      <c r="J366" s="2">
        <v>20.2</v>
      </c>
      <c r="K366" s="2">
        <v>9</v>
      </c>
      <c r="L366" s="2">
        <v>10.7</v>
      </c>
      <c r="M366" s="2">
        <v>16.899999999999999</v>
      </c>
      <c r="N366" s="2">
        <v>4.2</v>
      </c>
      <c r="O366" s="2">
        <v>0</v>
      </c>
      <c r="P366" s="2">
        <v>0</v>
      </c>
      <c r="Q366" s="2">
        <v>4.7</v>
      </c>
      <c r="R366" s="2">
        <v>13.600000000000001</v>
      </c>
      <c r="S366" s="2">
        <v>3.7</v>
      </c>
      <c r="T366" s="2">
        <v>14.4</v>
      </c>
      <c r="U366" s="1">
        <f>COUNTIF(C366:T366,"&gt;"&amp;VLOOKUP(B366,MetaTable,3,FALSE))</f>
        <v>8</v>
      </c>
      <c r="V366">
        <v>147.5</v>
      </c>
      <c r="W366">
        <f t="shared" si="5"/>
        <v>11.346153846153847</v>
      </c>
    </row>
    <row r="367" spans="1:23" x14ac:dyDescent="0.45">
      <c r="A367" s="1" t="s">
        <v>373</v>
      </c>
      <c r="B367" s="1" t="s">
        <v>343</v>
      </c>
      <c r="C367" s="2">
        <v>20</v>
      </c>
      <c r="D367" s="2">
        <v>14.100000000000001</v>
      </c>
      <c r="E367" s="2">
        <v>4.9000000000000004</v>
      </c>
      <c r="F367" s="2">
        <v>1.4</v>
      </c>
      <c r="G367" s="2">
        <v>20.9</v>
      </c>
      <c r="H367" s="2">
        <v>0</v>
      </c>
      <c r="I367" s="2">
        <v>2.5</v>
      </c>
      <c r="J367" s="2">
        <v>1.6</v>
      </c>
      <c r="K367" s="2">
        <v>5.6000000000000005</v>
      </c>
      <c r="L367" s="2">
        <v>16.100000000000001</v>
      </c>
      <c r="M367" s="2">
        <v>8.9</v>
      </c>
      <c r="N367" s="2">
        <v>4.4000000000000004</v>
      </c>
      <c r="O367" s="2">
        <v>8.6</v>
      </c>
      <c r="P367" s="2">
        <v>0</v>
      </c>
      <c r="Q367" s="2">
        <v>0</v>
      </c>
      <c r="R367" s="2">
        <v>0</v>
      </c>
      <c r="S367" s="2">
        <v>21.200000000000003</v>
      </c>
      <c r="T367" s="2">
        <v>12.7</v>
      </c>
      <c r="U367" s="1">
        <f>COUNTIF(C367:T367,"&gt;"&amp;VLOOKUP(B367,MetaTable,3,FALSE))</f>
        <v>6</v>
      </c>
      <c r="V367">
        <v>142.9</v>
      </c>
      <c r="W367">
        <f t="shared" si="5"/>
        <v>10.207142857142857</v>
      </c>
    </row>
    <row r="368" spans="1:23" x14ac:dyDescent="0.45">
      <c r="A368" s="1" t="s">
        <v>374</v>
      </c>
      <c r="B368" s="1" t="s">
        <v>343</v>
      </c>
      <c r="C368" s="2">
        <v>9.6999999999999993</v>
      </c>
      <c r="D368" s="2">
        <v>2.6</v>
      </c>
      <c r="E368" s="2">
        <v>1.1000000000000001</v>
      </c>
      <c r="F368" s="2">
        <v>0</v>
      </c>
      <c r="G368" s="2">
        <v>0</v>
      </c>
      <c r="H368" s="2">
        <v>0</v>
      </c>
      <c r="I368" s="2">
        <v>4.0999999999999996</v>
      </c>
      <c r="J368" s="2">
        <v>7.2</v>
      </c>
      <c r="K368" s="2">
        <v>0</v>
      </c>
      <c r="L368" s="2">
        <v>0</v>
      </c>
      <c r="M368" s="2">
        <v>0</v>
      </c>
      <c r="N368" s="2">
        <v>1.6</v>
      </c>
      <c r="O368" s="2">
        <v>3.5</v>
      </c>
      <c r="P368" s="2">
        <v>19.899999999999999</v>
      </c>
      <c r="Q368" s="2">
        <v>16</v>
      </c>
      <c r="R368" s="2">
        <v>14.2</v>
      </c>
      <c r="S368" s="2">
        <v>20.5</v>
      </c>
      <c r="T368" s="2">
        <v>16.5</v>
      </c>
      <c r="U368" s="1">
        <f>COUNTIF(C368:T368,"&gt;"&amp;VLOOKUP(B368,MetaTable,3,FALSE))</f>
        <v>5</v>
      </c>
      <c r="V368">
        <v>116.9</v>
      </c>
      <c r="W368">
        <f t="shared" si="5"/>
        <v>9.7416666666666671</v>
      </c>
    </row>
    <row r="369" spans="1:23" x14ac:dyDescent="0.45">
      <c r="A369" s="1" t="s">
        <v>375</v>
      </c>
      <c r="B369" s="1" t="s">
        <v>343</v>
      </c>
      <c r="C369" s="2">
        <v>9</v>
      </c>
      <c r="D369" s="2">
        <v>8.1999999999999993</v>
      </c>
      <c r="E369" s="2">
        <v>11.8</v>
      </c>
      <c r="F369" s="2">
        <v>4.6000000000000005</v>
      </c>
      <c r="G369" s="2">
        <v>22.6</v>
      </c>
      <c r="H369" s="2">
        <v>20.700000000000003</v>
      </c>
      <c r="I369" s="2">
        <v>10.600000000000001</v>
      </c>
      <c r="J369" s="2">
        <v>13.8</v>
      </c>
      <c r="K369" s="2">
        <v>25.5</v>
      </c>
      <c r="L369" s="2">
        <v>6.6000000000000005</v>
      </c>
      <c r="M369" s="2">
        <v>3.8</v>
      </c>
      <c r="N369" s="2">
        <v>0</v>
      </c>
      <c r="O369" s="2">
        <v>6.6000000000000005</v>
      </c>
      <c r="P369" s="2">
        <v>14.9</v>
      </c>
      <c r="Q369" s="2">
        <v>13.100000000000001</v>
      </c>
      <c r="R369" s="2">
        <v>8.4</v>
      </c>
      <c r="S369" s="2">
        <v>14.100000000000001</v>
      </c>
      <c r="T369" s="2">
        <v>7.1000000000000005</v>
      </c>
      <c r="U369" s="1">
        <f>COUNTIF(C369:T369,"&gt;"&amp;VLOOKUP(B369,MetaTable,3,FALSE))</f>
        <v>9</v>
      </c>
      <c r="V369">
        <v>201.4</v>
      </c>
      <c r="W369">
        <f t="shared" si="5"/>
        <v>11.847058823529412</v>
      </c>
    </row>
    <row r="370" spans="1:23" x14ac:dyDescent="0.45">
      <c r="A370" s="1" t="s">
        <v>376</v>
      </c>
      <c r="B370" s="1" t="s">
        <v>343</v>
      </c>
      <c r="C370" s="2">
        <v>7.9</v>
      </c>
      <c r="D370" s="2">
        <v>4.9000000000000004</v>
      </c>
      <c r="E370" s="2">
        <v>17.7</v>
      </c>
      <c r="F370" s="2">
        <v>7.4</v>
      </c>
      <c r="G370" s="2">
        <v>10.199999999999999</v>
      </c>
      <c r="H370" s="2">
        <v>0</v>
      </c>
      <c r="I370" s="2">
        <v>0</v>
      </c>
      <c r="J370" s="2">
        <v>14.2</v>
      </c>
      <c r="K370" s="2">
        <v>14.5</v>
      </c>
      <c r="L370" s="2">
        <v>0</v>
      </c>
      <c r="M370" s="2">
        <v>6.8000000000000007</v>
      </c>
      <c r="N370" s="2">
        <v>17.100000000000001</v>
      </c>
      <c r="O370" s="2">
        <v>12.700000000000001</v>
      </c>
      <c r="P370" s="2">
        <v>10.199999999999999</v>
      </c>
      <c r="Q370" s="2">
        <v>8.4</v>
      </c>
      <c r="R370" s="2">
        <v>5.1000000000000005</v>
      </c>
      <c r="S370" s="2">
        <v>14.600000000000001</v>
      </c>
      <c r="T370" s="2">
        <v>22.8</v>
      </c>
      <c r="U370" s="1">
        <f>COUNTIF(C370:T370,"&gt;"&amp;VLOOKUP(B370,MetaTable,3,FALSE))</f>
        <v>9</v>
      </c>
      <c r="V370">
        <v>174.5</v>
      </c>
      <c r="W370">
        <f t="shared" si="5"/>
        <v>11.633333333333333</v>
      </c>
    </row>
    <row r="371" spans="1:23" x14ac:dyDescent="0.45">
      <c r="A371" s="1" t="s">
        <v>377</v>
      </c>
      <c r="B371" s="1" t="s">
        <v>343</v>
      </c>
      <c r="C371" s="2">
        <v>8.9</v>
      </c>
      <c r="D371" s="2">
        <v>4.7</v>
      </c>
      <c r="E371" s="2">
        <v>41</v>
      </c>
      <c r="F371" s="2">
        <v>10.3</v>
      </c>
      <c r="G371" s="2">
        <v>1.8</v>
      </c>
      <c r="H371" s="2">
        <v>4.2</v>
      </c>
      <c r="I371" s="2">
        <v>0</v>
      </c>
      <c r="J371" s="2">
        <v>0</v>
      </c>
      <c r="K371" s="2">
        <v>0</v>
      </c>
      <c r="L371" s="2">
        <v>12.8</v>
      </c>
      <c r="M371" s="2">
        <v>20.100000000000001</v>
      </c>
      <c r="N371" s="2">
        <v>6.5</v>
      </c>
      <c r="O371" s="2">
        <v>7.1000000000000005</v>
      </c>
      <c r="P371" s="2">
        <v>24.5</v>
      </c>
      <c r="Q371" s="2">
        <v>4.0999999999999996</v>
      </c>
      <c r="R371" s="2">
        <v>7.1000000000000005</v>
      </c>
      <c r="S371" s="2">
        <v>10.199999999999999</v>
      </c>
      <c r="T371" s="2">
        <v>8.6999999999999993</v>
      </c>
      <c r="U371" s="1">
        <f>COUNTIF(C371:T371,"&gt;"&amp;VLOOKUP(B371,MetaTable,3,FALSE))</f>
        <v>6</v>
      </c>
      <c r="V371">
        <v>172</v>
      </c>
      <c r="W371">
        <f t="shared" si="5"/>
        <v>11.466666666666667</v>
      </c>
    </row>
    <row r="372" spans="1:23" x14ac:dyDescent="0.45">
      <c r="A372" s="1" t="s">
        <v>378</v>
      </c>
      <c r="B372" s="1" t="s">
        <v>343</v>
      </c>
      <c r="C372" s="2">
        <v>31.1</v>
      </c>
      <c r="D372" s="2">
        <v>5.6000000000000005</v>
      </c>
      <c r="E372" s="2">
        <v>8.9</v>
      </c>
      <c r="F372" s="2">
        <v>23.6</v>
      </c>
      <c r="G372" s="2">
        <v>11.700000000000001</v>
      </c>
      <c r="H372" s="2">
        <v>11.8</v>
      </c>
      <c r="I372" s="2">
        <v>2</v>
      </c>
      <c r="J372" s="2">
        <v>6.5</v>
      </c>
      <c r="K372" s="2">
        <v>13.8</v>
      </c>
      <c r="L372" s="2">
        <v>0</v>
      </c>
      <c r="M372" s="2">
        <v>8.8000000000000007</v>
      </c>
      <c r="N372" s="2">
        <v>4.0999999999999996</v>
      </c>
      <c r="O372" s="2">
        <v>18.200000000000003</v>
      </c>
      <c r="P372" s="2">
        <v>0</v>
      </c>
      <c r="Q372" s="2">
        <v>8.6000000000000014</v>
      </c>
      <c r="R372" s="2">
        <v>9.6000000000000014</v>
      </c>
      <c r="S372" s="2">
        <v>1.1000000000000001</v>
      </c>
      <c r="T372" s="2">
        <v>4.1000000000000005</v>
      </c>
      <c r="U372" s="1">
        <f>COUNTIF(C372:T372,"&gt;"&amp;VLOOKUP(B372,MetaTable,3,FALSE))</f>
        <v>6</v>
      </c>
      <c r="V372">
        <v>169.5</v>
      </c>
      <c r="W372">
        <f t="shared" si="5"/>
        <v>10.59375</v>
      </c>
    </row>
    <row r="373" spans="1:23" x14ac:dyDescent="0.45">
      <c r="A373" s="1" t="s">
        <v>379</v>
      </c>
      <c r="B373" s="1" t="s">
        <v>343</v>
      </c>
      <c r="C373" s="2">
        <v>4.4000000000000004</v>
      </c>
      <c r="D373" s="2">
        <v>23.9</v>
      </c>
      <c r="E373" s="2">
        <v>18.399999999999999</v>
      </c>
      <c r="F373" s="2">
        <v>11.9</v>
      </c>
      <c r="G373" s="2">
        <v>5.5</v>
      </c>
      <c r="H373" s="2">
        <v>6.3000000000000007</v>
      </c>
      <c r="I373" s="2">
        <v>17.899999999999999</v>
      </c>
      <c r="J373" s="2">
        <v>0</v>
      </c>
      <c r="K373" s="2">
        <v>0</v>
      </c>
      <c r="L373" s="2">
        <v>0</v>
      </c>
      <c r="M373" s="2">
        <v>10.5</v>
      </c>
      <c r="N373" s="2">
        <v>7.9</v>
      </c>
      <c r="O373" s="2">
        <v>8.6000000000000014</v>
      </c>
      <c r="P373" s="2">
        <v>6.9</v>
      </c>
      <c r="Q373" s="2">
        <v>4.3000000000000007</v>
      </c>
      <c r="R373" s="2">
        <v>13.2</v>
      </c>
      <c r="S373" s="2">
        <v>5.7</v>
      </c>
      <c r="T373" s="2">
        <v>12.8</v>
      </c>
      <c r="U373" s="1">
        <f>COUNTIF(C373:T373,"&gt;"&amp;VLOOKUP(B373,MetaTable,3,FALSE))</f>
        <v>7</v>
      </c>
      <c r="V373">
        <v>158.19999999999999</v>
      </c>
      <c r="W373">
        <f t="shared" si="5"/>
        <v>10.546666666666665</v>
      </c>
    </row>
    <row r="374" spans="1:23" x14ac:dyDescent="0.45">
      <c r="A374" s="1" t="s">
        <v>380</v>
      </c>
      <c r="B374" s="1" t="s">
        <v>343</v>
      </c>
      <c r="C374" s="2">
        <v>6.3000000000000007</v>
      </c>
      <c r="D374" s="2">
        <v>5.5</v>
      </c>
      <c r="E374" s="2">
        <v>10.3</v>
      </c>
      <c r="F374" s="2">
        <v>2.8000000000000003</v>
      </c>
      <c r="G374" s="2">
        <v>13.8</v>
      </c>
      <c r="H374" s="2">
        <v>9.1000000000000014</v>
      </c>
      <c r="I374" s="2">
        <v>20.100000000000001</v>
      </c>
      <c r="J374" s="2">
        <v>3.3000000000000003</v>
      </c>
      <c r="K374" s="2">
        <v>4</v>
      </c>
      <c r="L374" s="2">
        <v>14.4</v>
      </c>
      <c r="M374" s="2">
        <v>4</v>
      </c>
      <c r="N374" s="2">
        <v>11.3</v>
      </c>
      <c r="O374" s="2">
        <v>0</v>
      </c>
      <c r="P374" s="2">
        <v>0</v>
      </c>
      <c r="Q374" s="2">
        <v>21.5</v>
      </c>
      <c r="R374" s="2">
        <v>7.9</v>
      </c>
      <c r="S374" s="2">
        <v>1.7000000000000002</v>
      </c>
      <c r="T374" s="2">
        <v>16.100000000000001</v>
      </c>
      <c r="U374" s="1">
        <f>COUNTIF(C374:T374,"&gt;"&amp;VLOOKUP(B374,MetaTable,3,FALSE))</f>
        <v>7</v>
      </c>
      <c r="V374">
        <v>152.1</v>
      </c>
      <c r="W374">
        <f t="shared" si="5"/>
        <v>9.5062499999999996</v>
      </c>
    </row>
    <row r="375" spans="1:23" x14ac:dyDescent="0.45">
      <c r="A375" s="1" t="s">
        <v>381</v>
      </c>
      <c r="B375" s="1" t="s">
        <v>343</v>
      </c>
      <c r="C375" s="2">
        <v>5.3000000000000007</v>
      </c>
      <c r="D375" s="2">
        <v>19.600000000000001</v>
      </c>
      <c r="E375" s="2">
        <v>11.4</v>
      </c>
      <c r="F375" s="2">
        <v>1.8</v>
      </c>
      <c r="G375" s="2">
        <v>0</v>
      </c>
      <c r="H375" s="2">
        <v>3.7</v>
      </c>
      <c r="I375" s="2">
        <v>0</v>
      </c>
      <c r="J375" s="2">
        <v>0</v>
      </c>
      <c r="K375" s="2">
        <v>20</v>
      </c>
      <c r="L375" s="2">
        <v>9.4</v>
      </c>
      <c r="M375" s="2">
        <v>11.8</v>
      </c>
      <c r="N375" s="2">
        <v>0</v>
      </c>
      <c r="O375" s="2">
        <v>2.2000000000000002</v>
      </c>
      <c r="P375" s="2">
        <v>13.3</v>
      </c>
      <c r="Q375" s="2">
        <v>13</v>
      </c>
      <c r="R375" s="2">
        <v>3.3</v>
      </c>
      <c r="S375" s="2">
        <v>7.3000000000000007</v>
      </c>
      <c r="T375" s="2">
        <v>25.1</v>
      </c>
      <c r="U375" s="1">
        <f>COUNTIF(C375:T375,"&gt;"&amp;VLOOKUP(B375,MetaTable,3,FALSE))</f>
        <v>7</v>
      </c>
      <c r="V375">
        <v>147.19999999999999</v>
      </c>
      <c r="W375">
        <f t="shared" si="5"/>
        <v>10.514285714285714</v>
      </c>
    </row>
    <row r="376" spans="1:23" x14ac:dyDescent="0.45">
      <c r="A376" s="1" t="s">
        <v>382</v>
      </c>
      <c r="B376" s="1" t="s">
        <v>343</v>
      </c>
      <c r="C376" s="2">
        <v>11.7</v>
      </c>
      <c r="D376" s="2">
        <v>8.1000000000000014</v>
      </c>
      <c r="E376" s="2">
        <v>16.2</v>
      </c>
      <c r="F376" s="2">
        <v>8.1999999999999993</v>
      </c>
      <c r="G376" s="2">
        <v>0</v>
      </c>
      <c r="H376" s="2">
        <v>2.9000000000000004</v>
      </c>
      <c r="I376" s="2">
        <v>10</v>
      </c>
      <c r="J376" s="2">
        <v>15.400000000000002</v>
      </c>
      <c r="K376" s="2">
        <v>8</v>
      </c>
      <c r="L376" s="2">
        <v>8.8000000000000007</v>
      </c>
      <c r="M376" s="2">
        <v>11</v>
      </c>
      <c r="N376" s="2">
        <v>0</v>
      </c>
      <c r="O376" s="2">
        <v>5</v>
      </c>
      <c r="P376" s="2">
        <v>19.100000000000001</v>
      </c>
      <c r="Q376" s="2">
        <v>12.9</v>
      </c>
      <c r="R376" s="2">
        <v>3.2</v>
      </c>
      <c r="S376" s="2">
        <v>4</v>
      </c>
      <c r="T376" s="2">
        <v>0</v>
      </c>
      <c r="U376" s="1">
        <f>COUNTIF(C376:T376,"&gt;"&amp;VLOOKUP(B376,MetaTable,3,FALSE))</f>
        <v>6</v>
      </c>
      <c r="V376">
        <v>144.5</v>
      </c>
      <c r="W376">
        <f t="shared" si="5"/>
        <v>9.6333333333333329</v>
      </c>
    </row>
    <row r="377" spans="1:23" x14ac:dyDescent="0.45">
      <c r="A377" s="1" t="s">
        <v>383</v>
      </c>
      <c r="B377" s="1" t="s">
        <v>343</v>
      </c>
      <c r="C377" s="2">
        <v>16.200000000000003</v>
      </c>
      <c r="D377" s="2">
        <v>14</v>
      </c>
      <c r="E377" s="2">
        <v>0</v>
      </c>
      <c r="F377" s="2">
        <v>8.7000000000000011</v>
      </c>
      <c r="G377" s="2">
        <v>2.5</v>
      </c>
      <c r="H377" s="2">
        <v>19.200000000000003</v>
      </c>
      <c r="I377" s="2">
        <v>0</v>
      </c>
      <c r="J377" s="2">
        <v>10.600000000000001</v>
      </c>
      <c r="K377" s="2">
        <v>0</v>
      </c>
      <c r="L377" s="2">
        <v>10.100000000000001</v>
      </c>
      <c r="M377" s="2">
        <v>4.0999999999999996</v>
      </c>
      <c r="N377" s="2">
        <v>2.6</v>
      </c>
      <c r="O377" s="2">
        <v>2</v>
      </c>
      <c r="P377" s="2">
        <v>4.5</v>
      </c>
      <c r="Q377" s="2">
        <v>3.4000000000000004</v>
      </c>
      <c r="R377" s="2">
        <v>21.6</v>
      </c>
      <c r="S377" s="2">
        <v>8.6</v>
      </c>
      <c r="T377" s="2">
        <v>0</v>
      </c>
      <c r="U377" s="1">
        <f>COUNTIF(C377:T377,"&gt;"&amp;VLOOKUP(B377,MetaTable,3,FALSE))</f>
        <v>6</v>
      </c>
      <c r="V377">
        <v>128.1</v>
      </c>
      <c r="W377">
        <f t="shared" si="5"/>
        <v>9.15</v>
      </c>
    </row>
    <row r="378" spans="1:23" x14ac:dyDescent="0.45">
      <c r="A378" s="1" t="s">
        <v>384</v>
      </c>
      <c r="B378" s="1" t="s">
        <v>343</v>
      </c>
      <c r="C378" s="2">
        <v>7.4</v>
      </c>
      <c r="D378" s="2">
        <v>1.8</v>
      </c>
      <c r="E378" s="2">
        <v>8.6999999999999993</v>
      </c>
      <c r="F378" s="2">
        <v>0</v>
      </c>
      <c r="G378" s="2">
        <v>5.3000000000000007</v>
      </c>
      <c r="H378" s="2">
        <v>15.2</v>
      </c>
      <c r="I378" s="2">
        <v>0</v>
      </c>
      <c r="J378" s="2">
        <v>11.5</v>
      </c>
      <c r="K378" s="2">
        <v>15.600000000000001</v>
      </c>
      <c r="L378" s="2">
        <v>5.8000000000000007</v>
      </c>
      <c r="M378" s="2">
        <v>7.8000000000000007</v>
      </c>
      <c r="N378" s="2">
        <v>8.6999999999999993</v>
      </c>
      <c r="O378" s="2">
        <v>2.8000000000000003</v>
      </c>
      <c r="P378" s="2">
        <v>0</v>
      </c>
      <c r="Q378" s="2">
        <v>5.0999999999999996</v>
      </c>
      <c r="R378" s="2">
        <v>18.8</v>
      </c>
      <c r="S378" s="2">
        <v>0</v>
      </c>
      <c r="T378" s="2">
        <v>0</v>
      </c>
      <c r="U378" s="1">
        <f>COUNTIF(C378:T378,"&gt;"&amp;VLOOKUP(B378,MetaTable,3,FALSE))</f>
        <v>4</v>
      </c>
      <c r="V378">
        <v>114.5</v>
      </c>
      <c r="W378">
        <f t="shared" si="5"/>
        <v>8.8076923076923084</v>
      </c>
    </row>
    <row r="379" spans="1:23" x14ac:dyDescent="0.45">
      <c r="A379" s="1" t="s">
        <v>385</v>
      </c>
      <c r="B379" s="1" t="s">
        <v>343</v>
      </c>
      <c r="C379" s="2">
        <v>18.3</v>
      </c>
      <c r="D379" s="2">
        <v>21.200000000000003</v>
      </c>
      <c r="E379" s="2">
        <v>14.3</v>
      </c>
      <c r="F379" s="2">
        <v>9.9</v>
      </c>
      <c r="G379" s="2">
        <v>9.1000000000000014</v>
      </c>
      <c r="H379" s="2">
        <v>30</v>
      </c>
      <c r="I379" s="2">
        <v>10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1">
        <f>COUNTIF(C379:T379,"&gt;"&amp;VLOOKUP(B379,MetaTable,3,FALSE))</f>
        <v>4</v>
      </c>
      <c r="V379">
        <v>112.8</v>
      </c>
      <c r="W379">
        <f t="shared" si="5"/>
        <v>16.114285714285714</v>
      </c>
    </row>
    <row r="380" spans="1:23" x14ac:dyDescent="0.45">
      <c r="A380" s="1" t="s">
        <v>386</v>
      </c>
      <c r="B380" s="1" t="s">
        <v>343</v>
      </c>
      <c r="C380" s="2">
        <v>0</v>
      </c>
      <c r="D380" s="2">
        <v>1.5</v>
      </c>
      <c r="E380" s="2">
        <v>1.4</v>
      </c>
      <c r="F380" s="2">
        <v>0</v>
      </c>
      <c r="G380" s="2">
        <v>2.9000000000000004</v>
      </c>
      <c r="H380" s="2">
        <v>0</v>
      </c>
      <c r="I380" s="2">
        <v>2.8</v>
      </c>
      <c r="J380" s="2">
        <v>1.3</v>
      </c>
      <c r="K380" s="2">
        <v>0.9</v>
      </c>
      <c r="L380" s="2">
        <v>5</v>
      </c>
      <c r="M380" s="2">
        <v>12.3</v>
      </c>
      <c r="N380" s="2">
        <v>5.7</v>
      </c>
      <c r="O380" s="2">
        <v>18.399999999999999</v>
      </c>
      <c r="P380" s="2">
        <v>0</v>
      </c>
      <c r="Q380" s="2">
        <v>4</v>
      </c>
      <c r="R380" s="2">
        <v>8</v>
      </c>
      <c r="S380" s="2">
        <v>26.200000000000003</v>
      </c>
      <c r="T380" s="2">
        <v>19.600000000000001</v>
      </c>
      <c r="U380" s="1">
        <f>COUNTIF(C380:T380,"&gt;"&amp;VLOOKUP(B380,MetaTable,3,FALSE))</f>
        <v>4</v>
      </c>
      <c r="V380">
        <v>110</v>
      </c>
      <c r="W380">
        <f t="shared" si="5"/>
        <v>8.4615384615384617</v>
      </c>
    </row>
    <row r="381" spans="1:23" x14ac:dyDescent="0.45">
      <c r="A381" s="1" t="s">
        <v>387</v>
      </c>
      <c r="B381" s="1" t="s">
        <v>343</v>
      </c>
      <c r="C381" s="2">
        <v>18.899999999999999</v>
      </c>
      <c r="D381" s="2">
        <v>5.7</v>
      </c>
      <c r="E381" s="2">
        <v>14.92</v>
      </c>
      <c r="F381" s="2">
        <v>16</v>
      </c>
      <c r="G381" s="2">
        <v>11.200000000000001</v>
      </c>
      <c r="H381" s="2">
        <v>16.7</v>
      </c>
      <c r="I381" s="2">
        <v>4.8000000000000007</v>
      </c>
      <c r="J381" s="2">
        <v>10.199999999999999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1">
        <f>COUNTIF(C381:T381,"&gt;"&amp;VLOOKUP(B381,MetaTable,3,FALSE))</f>
        <v>6</v>
      </c>
      <c r="V381">
        <v>98.42</v>
      </c>
      <c r="W381">
        <f t="shared" si="5"/>
        <v>12.3025</v>
      </c>
    </row>
    <row r="382" spans="1:23" x14ac:dyDescent="0.45">
      <c r="A382" s="1" t="s">
        <v>388</v>
      </c>
      <c r="B382" s="1" t="s">
        <v>343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3.6</v>
      </c>
      <c r="J382" s="2">
        <v>9.7000000000000011</v>
      </c>
      <c r="K382" s="2">
        <v>0</v>
      </c>
      <c r="L382" s="2">
        <v>15.3</v>
      </c>
      <c r="M382" s="2">
        <v>0</v>
      </c>
      <c r="N382" s="2">
        <v>0</v>
      </c>
      <c r="O382" s="2">
        <v>0</v>
      </c>
      <c r="P382" s="2">
        <v>1</v>
      </c>
      <c r="Q382" s="2">
        <v>2.1</v>
      </c>
      <c r="R382" s="2">
        <v>5.7</v>
      </c>
      <c r="S382" s="2">
        <v>24.700000000000003</v>
      </c>
      <c r="T382" s="2">
        <v>15.9</v>
      </c>
      <c r="U382" s="1">
        <f>COUNTIF(C382:T382,"&gt;"&amp;VLOOKUP(B382,MetaTable,3,FALSE))</f>
        <v>3</v>
      </c>
      <c r="V382">
        <v>78</v>
      </c>
      <c r="W382">
        <f t="shared" si="5"/>
        <v>11.142857142857142</v>
      </c>
    </row>
    <row r="383" spans="1:23" x14ac:dyDescent="0.45">
      <c r="A383" s="1" t="s">
        <v>389</v>
      </c>
      <c r="B383" s="1" t="s">
        <v>343</v>
      </c>
      <c r="C383" s="2">
        <v>2.9000000000000004</v>
      </c>
      <c r="D383" s="2">
        <v>3</v>
      </c>
      <c r="E383" s="2">
        <v>22.200000000000003</v>
      </c>
      <c r="F383" s="2">
        <v>17.8</v>
      </c>
      <c r="G383" s="2">
        <v>4.4000000000000004</v>
      </c>
      <c r="H383" s="2">
        <v>16.8</v>
      </c>
      <c r="I383" s="2">
        <v>2.2000000000000002</v>
      </c>
      <c r="J383" s="2">
        <v>0</v>
      </c>
      <c r="K383" s="2">
        <v>0</v>
      </c>
      <c r="L383" s="2">
        <v>1.1000000000000001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2.2000000000000002</v>
      </c>
      <c r="U383" s="1">
        <f>COUNTIF(C383:T383,"&gt;"&amp;VLOOKUP(B383,MetaTable,3,FALSE))</f>
        <v>3</v>
      </c>
      <c r="V383">
        <v>72.599999999999994</v>
      </c>
      <c r="W383">
        <f t="shared" si="5"/>
        <v>8.0666666666666664</v>
      </c>
    </row>
    <row r="384" spans="1:23" x14ac:dyDescent="0.45">
      <c r="A384" s="1" t="s">
        <v>390</v>
      </c>
      <c r="B384" s="1" t="s">
        <v>343</v>
      </c>
      <c r="C384" s="2">
        <v>0.9</v>
      </c>
      <c r="D384" s="2">
        <v>27</v>
      </c>
      <c r="E384" s="2">
        <v>14.9</v>
      </c>
      <c r="F384" s="2">
        <v>13</v>
      </c>
      <c r="G384" s="2">
        <v>4.5999999999999996</v>
      </c>
      <c r="H384" s="2">
        <v>0</v>
      </c>
      <c r="I384" s="2">
        <v>3.6</v>
      </c>
      <c r="J384" s="2">
        <v>20.100000000000001</v>
      </c>
      <c r="K384" s="2">
        <v>2.4000000000000004</v>
      </c>
      <c r="L384" s="2">
        <v>13.9</v>
      </c>
      <c r="M384" s="2">
        <v>0</v>
      </c>
      <c r="N384" s="2">
        <v>6.2</v>
      </c>
      <c r="O384" s="2">
        <v>14.5</v>
      </c>
      <c r="P384" s="2">
        <v>6.9</v>
      </c>
      <c r="Q384" s="2">
        <v>4.2</v>
      </c>
      <c r="R384" s="2">
        <v>5.9</v>
      </c>
      <c r="S384" s="2">
        <v>12.600000000000001</v>
      </c>
      <c r="T384" s="2">
        <v>14.8</v>
      </c>
      <c r="U384" s="1">
        <f>COUNTIF(C384:T384,"&gt;"&amp;VLOOKUP(B384,MetaTable,3,FALSE))</f>
        <v>8</v>
      </c>
      <c r="V384">
        <v>165.5</v>
      </c>
      <c r="W384">
        <f t="shared" si="5"/>
        <v>11.033333333333333</v>
      </c>
    </row>
    <row r="385" spans="1:23" x14ac:dyDescent="0.45">
      <c r="A385" s="1" t="s">
        <v>391</v>
      </c>
      <c r="B385" s="1" t="s">
        <v>343</v>
      </c>
      <c r="C385" s="2">
        <v>10.5</v>
      </c>
      <c r="D385" s="2">
        <v>3.9000000000000004</v>
      </c>
      <c r="E385" s="2">
        <v>8.1999999999999993</v>
      </c>
      <c r="F385" s="2">
        <v>12.8</v>
      </c>
      <c r="G385" s="2">
        <v>4.0999999999999996</v>
      </c>
      <c r="H385" s="2">
        <v>6.8000000000000007</v>
      </c>
      <c r="I385" s="2">
        <v>19.600000000000001</v>
      </c>
      <c r="J385" s="2">
        <v>9.4</v>
      </c>
      <c r="K385" s="2">
        <v>0</v>
      </c>
      <c r="L385" s="2">
        <v>18</v>
      </c>
      <c r="M385" s="2">
        <v>12.9</v>
      </c>
      <c r="N385" s="2">
        <v>6.8000000000000007</v>
      </c>
      <c r="O385" s="2">
        <v>14.9</v>
      </c>
      <c r="P385" s="2">
        <v>0</v>
      </c>
      <c r="Q385" s="2">
        <v>0</v>
      </c>
      <c r="R385" s="2">
        <v>0</v>
      </c>
      <c r="S385" s="2">
        <v>6.5</v>
      </c>
      <c r="T385" s="2">
        <v>0.5</v>
      </c>
      <c r="U385" s="1">
        <f>COUNTIF(C385:T385,"&gt;"&amp;VLOOKUP(B385,MetaTable,3,FALSE))</f>
        <v>6</v>
      </c>
      <c r="V385">
        <v>134.9</v>
      </c>
      <c r="W385">
        <f t="shared" si="5"/>
        <v>10.376923076923077</v>
      </c>
    </row>
    <row r="386" spans="1:23" x14ac:dyDescent="0.45">
      <c r="A386" s="1" t="s">
        <v>392</v>
      </c>
      <c r="B386" s="1" t="s">
        <v>343</v>
      </c>
      <c r="C386" s="2">
        <v>13.7</v>
      </c>
      <c r="D386" s="2">
        <v>6.5</v>
      </c>
      <c r="E386" s="2">
        <v>4.5999999999999996</v>
      </c>
      <c r="F386" s="2">
        <v>5.6</v>
      </c>
      <c r="G386" s="2">
        <v>6.6000000000000005</v>
      </c>
      <c r="H386" s="2">
        <v>0</v>
      </c>
      <c r="I386" s="2">
        <v>1.6</v>
      </c>
      <c r="J386" s="2">
        <v>6.5</v>
      </c>
      <c r="K386" s="2">
        <v>6.6</v>
      </c>
      <c r="L386" s="2">
        <v>7.1</v>
      </c>
      <c r="M386" s="2">
        <v>4.7</v>
      </c>
      <c r="N386" s="2">
        <v>24.4</v>
      </c>
      <c r="O386" s="2">
        <v>9.3000000000000007</v>
      </c>
      <c r="P386" s="2">
        <v>16.399999999999999</v>
      </c>
      <c r="Q386" s="2">
        <v>0</v>
      </c>
      <c r="R386" s="2">
        <v>0</v>
      </c>
      <c r="S386" s="2">
        <v>0</v>
      </c>
      <c r="T386" s="2">
        <v>7</v>
      </c>
      <c r="U386" s="1">
        <f>COUNTIF(C386:T386,"&gt;"&amp;VLOOKUP(B386,MetaTable,3,FALSE))</f>
        <v>3</v>
      </c>
      <c r="V386">
        <v>120.6</v>
      </c>
      <c r="W386">
        <f t="shared" si="5"/>
        <v>8.6142857142857139</v>
      </c>
    </row>
    <row r="387" spans="1:23" x14ac:dyDescent="0.45">
      <c r="A387" s="1" t="s">
        <v>393</v>
      </c>
      <c r="B387" s="1" t="s">
        <v>343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7.4</v>
      </c>
      <c r="I387" s="2">
        <v>8</v>
      </c>
      <c r="J387" s="2">
        <v>10.9</v>
      </c>
      <c r="K387" s="2">
        <v>13.5</v>
      </c>
      <c r="L387" s="2">
        <v>4.5999999999999996</v>
      </c>
      <c r="M387" s="2">
        <v>18.700000000000003</v>
      </c>
      <c r="N387" s="2">
        <v>11.8</v>
      </c>
      <c r="O387" s="2">
        <v>19.600000000000001</v>
      </c>
      <c r="P387" s="2">
        <v>2.4000000000000004</v>
      </c>
      <c r="Q387" s="2">
        <v>1.9</v>
      </c>
      <c r="R387" s="2">
        <v>8.6999999999999993</v>
      </c>
      <c r="S387" s="2">
        <v>5.2</v>
      </c>
      <c r="T387" s="2">
        <v>7</v>
      </c>
      <c r="U387" s="1">
        <f>COUNTIF(C387:T387,"&gt;"&amp;VLOOKUP(B387,MetaTable,3,FALSE))</f>
        <v>5</v>
      </c>
      <c r="V387">
        <v>119.7</v>
      </c>
      <c r="W387">
        <f t="shared" ref="W387:W450" si="6">V387/MAX(1,COUNTIF(C387:T387,"&gt;1"))</f>
        <v>9.2076923076923087</v>
      </c>
    </row>
    <row r="388" spans="1:23" x14ac:dyDescent="0.45">
      <c r="A388" s="1" t="s">
        <v>394</v>
      </c>
      <c r="B388" s="1" t="s">
        <v>343</v>
      </c>
      <c r="C388" s="2">
        <v>1.3</v>
      </c>
      <c r="D388" s="2">
        <v>1.4</v>
      </c>
      <c r="E388" s="2">
        <v>16.3</v>
      </c>
      <c r="F388" s="2">
        <v>4.0999999999999996</v>
      </c>
      <c r="G388" s="2">
        <v>0</v>
      </c>
      <c r="H388" s="2">
        <v>7.4</v>
      </c>
      <c r="I388" s="2">
        <v>0.3</v>
      </c>
      <c r="J388" s="2">
        <v>3.9000000000000004</v>
      </c>
      <c r="K388" s="2">
        <v>24.6</v>
      </c>
      <c r="L388" s="2">
        <v>7.6000000000000005</v>
      </c>
      <c r="M388" s="2">
        <v>4.4000000000000004</v>
      </c>
      <c r="N388" s="2">
        <v>12</v>
      </c>
      <c r="O388" s="2">
        <v>11</v>
      </c>
      <c r="P388" s="2">
        <v>11.2</v>
      </c>
      <c r="Q388" s="2">
        <v>6.1</v>
      </c>
      <c r="R388" s="2">
        <v>5.7</v>
      </c>
      <c r="S388" s="2">
        <v>1.7000000000000002</v>
      </c>
      <c r="T388" s="2">
        <v>0</v>
      </c>
      <c r="U388" s="1">
        <f>COUNTIF(C388:T388,"&gt;"&amp;VLOOKUP(B388,MetaTable,3,FALSE))</f>
        <v>5</v>
      </c>
      <c r="V388">
        <v>119</v>
      </c>
      <c r="W388">
        <f t="shared" si="6"/>
        <v>7.9333333333333336</v>
      </c>
    </row>
    <row r="389" spans="1:23" x14ac:dyDescent="0.45">
      <c r="A389" s="1" t="s">
        <v>395</v>
      </c>
      <c r="B389" s="1" t="s">
        <v>343</v>
      </c>
      <c r="C389" s="2">
        <v>1.6</v>
      </c>
      <c r="D389" s="2">
        <v>4.3000000000000007</v>
      </c>
      <c r="E389" s="2">
        <v>20.400000000000002</v>
      </c>
      <c r="F389" s="2">
        <v>1.5</v>
      </c>
      <c r="G389" s="2">
        <v>6.5</v>
      </c>
      <c r="H389" s="2">
        <v>5</v>
      </c>
      <c r="I389" s="2">
        <v>0</v>
      </c>
      <c r="J389" s="2">
        <v>6.9</v>
      </c>
      <c r="K389" s="2">
        <v>12.9</v>
      </c>
      <c r="L389" s="2">
        <v>3.8000000000000003</v>
      </c>
      <c r="M389" s="2">
        <v>9.5</v>
      </c>
      <c r="N389" s="2">
        <v>6.4</v>
      </c>
      <c r="O389" s="2">
        <v>3.5</v>
      </c>
      <c r="P389" s="2">
        <v>18.2</v>
      </c>
      <c r="Q389" s="2">
        <v>4.9000000000000004</v>
      </c>
      <c r="R389" s="2">
        <v>7.6999999999999993</v>
      </c>
      <c r="S389" s="2">
        <v>2</v>
      </c>
      <c r="T389" s="2">
        <v>2.8</v>
      </c>
      <c r="U389" s="1">
        <f>COUNTIF(C389:T389,"&gt;"&amp;VLOOKUP(B389,MetaTable,3,FALSE))</f>
        <v>3</v>
      </c>
      <c r="V389">
        <v>117.9</v>
      </c>
      <c r="W389">
        <f t="shared" si="6"/>
        <v>6.9352941176470591</v>
      </c>
    </row>
    <row r="390" spans="1:23" x14ac:dyDescent="0.45">
      <c r="A390" s="1" t="s">
        <v>396</v>
      </c>
      <c r="B390" s="1" t="s">
        <v>343</v>
      </c>
      <c r="C390" s="2">
        <v>6.4</v>
      </c>
      <c r="D390" s="2">
        <v>3</v>
      </c>
      <c r="E390" s="2">
        <v>11.5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7.2</v>
      </c>
      <c r="O390" s="2">
        <v>19.899999999999999</v>
      </c>
      <c r="P390" s="2">
        <v>14.700000000000001</v>
      </c>
      <c r="Q390" s="2">
        <v>7.6000000000000005</v>
      </c>
      <c r="R390" s="2">
        <v>12.8</v>
      </c>
      <c r="S390" s="2">
        <v>25.5</v>
      </c>
      <c r="T390" s="2">
        <v>6.9</v>
      </c>
      <c r="U390" s="1">
        <f>COUNTIF(C390:T390,"&gt;"&amp;VLOOKUP(B390,MetaTable,3,FALSE))</f>
        <v>5</v>
      </c>
      <c r="V390">
        <v>115.5</v>
      </c>
      <c r="W390">
        <f t="shared" si="6"/>
        <v>11.55</v>
      </c>
    </row>
    <row r="391" spans="1:23" x14ac:dyDescent="0.45">
      <c r="A391" s="1" t="s">
        <v>397</v>
      </c>
      <c r="B391" s="1" t="s">
        <v>343</v>
      </c>
      <c r="C391" s="2">
        <v>7</v>
      </c>
      <c r="D391" s="2">
        <v>7.7</v>
      </c>
      <c r="E391" s="2">
        <v>2.2999999999999998</v>
      </c>
      <c r="F391" s="2">
        <v>5.9</v>
      </c>
      <c r="G391" s="2">
        <v>0</v>
      </c>
      <c r="H391" s="2">
        <v>18.399999999999999</v>
      </c>
      <c r="I391" s="2">
        <v>13.4</v>
      </c>
      <c r="J391" s="2">
        <v>8.6999999999999993</v>
      </c>
      <c r="K391" s="2">
        <v>4.8000000000000007</v>
      </c>
      <c r="L391" s="2">
        <v>0</v>
      </c>
      <c r="M391" s="2">
        <v>2.2000000000000002</v>
      </c>
      <c r="N391" s="2">
        <v>6.9</v>
      </c>
      <c r="O391" s="2">
        <v>0</v>
      </c>
      <c r="P391" s="2">
        <v>0</v>
      </c>
      <c r="Q391" s="2">
        <v>17.5</v>
      </c>
      <c r="R391" s="2">
        <v>3</v>
      </c>
      <c r="S391" s="2">
        <v>11.3</v>
      </c>
      <c r="T391" s="2">
        <v>0</v>
      </c>
      <c r="U391" s="1">
        <f>COUNTIF(C391:T391,"&gt;"&amp;VLOOKUP(B391,MetaTable,3,FALSE))</f>
        <v>4</v>
      </c>
      <c r="V391">
        <v>109.1</v>
      </c>
      <c r="W391">
        <f t="shared" si="6"/>
        <v>8.3923076923076927</v>
      </c>
    </row>
    <row r="392" spans="1:23" x14ac:dyDescent="0.45">
      <c r="A392" s="1" t="s">
        <v>398</v>
      </c>
      <c r="B392" s="1" t="s">
        <v>343</v>
      </c>
      <c r="C392" s="2">
        <v>6.2</v>
      </c>
      <c r="D392" s="2">
        <v>6</v>
      </c>
      <c r="E392" s="2">
        <v>3.7</v>
      </c>
      <c r="F392" s="2">
        <v>4.7</v>
      </c>
      <c r="G392" s="2">
        <v>10.3</v>
      </c>
      <c r="H392" s="2">
        <v>0</v>
      </c>
      <c r="I392" s="2">
        <v>1.4</v>
      </c>
      <c r="J392" s="2">
        <v>16.5</v>
      </c>
      <c r="K392" s="2">
        <v>24.4</v>
      </c>
      <c r="L392" s="2">
        <v>2.8000000000000003</v>
      </c>
      <c r="M392" s="2">
        <v>2.9000000000000004</v>
      </c>
      <c r="N392" s="2">
        <v>8.5</v>
      </c>
      <c r="O392" s="2">
        <v>11.9</v>
      </c>
      <c r="P392" s="2">
        <v>0</v>
      </c>
      <c r="Q392" s="2">
        <v>0</v>
      </c>
      <c r="R392" s="2">
        <v>0</v>
      </c>
      <c r="S392" s="2">
        <v>0</v>
      </c>
      <c r="T392" s="2">
        <v>8.6999999999999993</v>
      </c>
      <c r="U392" s="1">
        <f>COUNTIF(C392:T392,"&gt;"&amp;VLOOKUP(B392,MetaTable,3,FALSE))</f>
        <v>4</v>
      </c>
      <c r="V392">
        <v>108</v>
      </c>
      <c r="W392">
        <f t="shared" si="6"/>
        <v>8.3076923076923084</v>
      </c>
    </row>
    <row r="393" spans="1:23" x14ac:dyDescent="0.45">
      <c r="A393" s="1" t="s">
        <v>399</v>
      </c>
      <c r="B393" s="1" t="s">
        <v>343</v>
      </c>
      <c r="C393" s="2">
        <v>23.9</v>
      </c>
      <c r="D393" s="2">
        <v>2.1</v>
      </c>
      <c r="E393" s="2">
        <v>12.3</v>
      </c>
      <c r="F393" s="2">
        <v>8.3000000000000007</v>
      </c>
      <c r="G393" s="2">
        <v>11.4</v>
      </c>
      <c r="H393" s="2">
        <v>20.399999999999999</v>
      </c>
      <c r="I393" s="2">
        <v>7.8000000000000007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2.2999999999999998</v>
      </c>
      <c r="Q393" s="2">
        <v>0</v>
      </c>
      <c r="R393" s="2">
        <v>3</v>
      </c>
      <c r="S393" s="2">
        <v>1.4</v>
      </c>
      <c r="T393" s="2">
        <v>14.600000000000001</v>
      </c>
      <c r="U393" s="1">
        <f>COUNTIF(C393:T393,"&gt;"&amp;VLOOKUP(B393,MetaTable,3,FALSE))</f>
        <v>5</v>
      </c>
      <c r="V393">
        <v>107.5</v>
      </c>
      <c r="W393">
        <f t="shared" si="6"/>
        <v>9.7727272727272734</v>
      </c>
    </row>
    <row r="394" spans="1:23" x14ac:dyDescent="0.45">
      <c r="A394" s="1" t="s">
        <v>400</v>
      </c>
      <c r="B394" s="1" t="s">
        <v>343</v>
      </c>
      <c r="C394" s="2">
        <v>0</v>
      </c>
      <c r="D394" s="2">
        <v>0</v>
      </c>
      <c r="E394" s="2">
        <v>0.7</v>
      </c>
      <c r="F394" s="2">
        <v>1.6</v>
      </c>
      <c r="G394" s="2">
        <v>4.4000000000000004</v>
      </c>
      <c r="H394" s="2">
        <v>13.4</v>
      </c>
      <c r="I394" s="2">
        <v>3.8000000000000003</v>
      </c>
      <c r="J394" s="2">
        <v>6.1000000000000005</v>
      </c>
      <c r="K394" s="2">
        <v>2.8</v>
      </c>
      <c r="L394" s="2">
        <v>6.7</v>
      </c>
      <c r="M394" s="2">
        <v>5.3000000000000007</v>
      </c>
      <c r="N394" s="2">
        <v>1.1000000000000001</v>
      </c>
      <c r="O394" s="2">
        <v>7.6000000000000005</v>
      </c>
      <c r="P394" s="2">
        <v>0</v>
      </c>
      <c r="Q394" s="2">
        <v>2.9000000000000004</v>
      </c>
      <c r="R394" s="2">
        <v>18</v>
      </c>
      <c r="S394" s="2">
        <v>4.8000000000000007</v>
      </c>
      <c r="T394" s="2">
        <v>21.200000000000003</v>
      </c>
      <c r="U394" s="1">
        <f>COUNTIF(C394:T394,"&gt;"&amp;VLOOKUP(B394,MetaTable,3,FALSE))</f>
        <v>3</v>
      </c>
      <c r="V394">
        <v>100.4</v>
      </c>
      <c r="W394">
        <f t="shared" si="6"/>
        <v>7.1714285714285717</v>
      </c>
    </row>
    <row r="395" spans="1:23" x14ac:dyDescent="0.45">
      <c r="A395" s="1" t="s">
        <v>401</v>
      </c>
      <c r="B395" s="1" t="s">
        <v>343</v>
      </c>
      <c r="C395" s="2">
        <v>1.2000000000000002</v>
      </c>
      <c r="D395" s="2">
        <v>1.1000000000000001</v>
      </c>
      <c r="E395" s="2">
        <v>17.5</v>
      </c>
      <c r="F395" s="2">
        <v>2.2000000000000002</v>
      </c>
      <c r="G395" s="2">
        <v>1.1000000000000001</v>
      </c>
      <c r="H395" s="2">
        <v>4.5999999999999996</v>
      </c>
      <c r="I395" s="2">
        <v>4.0999999999999996</v>
      </c>
      <c r="J395" s="2">
        <v>12.9</v>
      </c>
      <c r="K395" s="2">
        <v>0</v>
      </c>
      <c r="L395" s="2">
        <v>3</v>
      </c>
      <c r="M395" s="2">
        <v>0.4</v>
      </c>
      <c r="N395" s="2">
        <v>15.3</v>
      </c>
      <c r="O395" s="2">
        <v>9.9</v>
      </c>
      <c r="P395" s="2">
        <v>0.9</v>
      </c>
      <c r="Q395" s="2">
        <v>9</v>
      </c>
      <c r="R395" s="2">
        <v>8.5</v>
      </c>
      <c r="S395" s="2">
        <v>5.0999999999999996</v>
      </c>
      <c r="T395" s="2">
        <v>-2</v>
      </c>
      <c r="U395" s="1">
        <f>COUNTIF(C395:T395,"&gt;"&amp;VLOOKUP(B395,MetaTable,3,FALSE))</f>
        <v>3</v>
      </c>
      <c r="V395">
        <v>94.8</v>
      </c>
      <c r="W395">
        <f t="shared" si="6"/>
        <v>6.7714285714285714</v>
      </c>
    </row>
    <row r="396" spans="1:23" x14ac:dyDescent="0.45">
      <c r="A396" s="1" t="s">
        <v>402</v>
      </c>
      <c r="B396" s="1" t="s">
        <v>343</v>
      </c>
      <c r="C396" s="2">
        <v>2.4</v>
      </c>
      <c r="D396" s="2">
        <v>7.4</v>
      </c>
      <c r="E396" s="2">
        <v>2.7</v>
      </c>
      <c r="F396" s="2">
        <v>1.6</v>
      </c>
      <c r="G396" s="2">
        <v>2.6</v>
      </c>
      <c r="H396" s="2">
        <v>0.8</v>
      </c>
      <c r="I396" s="2">
        <v>7.1000000000000005</v>
      </c>
      <c r="J396" s="2">
        <v>12.5</v>
      </c>
      <c r="K396" s="2">
        <v>4.3000000000000007</v>
      </c>
      <c r="L396" s="2">
        <v>0</v>
      </c>
      <c r="M396" s="2">
        <v>15.600000000000001</v>
      </c>
      <c r="N396" s="2">
        <v>3.6</v>
      </c>
      <c r="O396" s="2">
        <v>15.200000000000001</v>
      </c>
      <c r="P396" s="2">
        <v>4.9000000000000004</v>
      </c>
      <c r="Q396" s="2">
        <v>0.9</v>
      </c>
      <c r="R396" s="2">
        <v>3.1</v>
      </c>
      <c r="S396" s="2">
        <v>0.6</v>
      </c>
      <c r="T396" s="2">
        <v>5.0999999999999996</v>
      </c>
      <c r="U396" s="1">
        <f>COUNTIF(C396:T396,"&gt;"&amp;VLOOKUP(B396,MetaTable,3,FALSE))</f>
        <v>3</v>
      </c>
      <c r="V396">
        <v>90.4</v>
      </c>
      <c r="W396">
        <f t="shared" si="6"/>
        <v>6.4571428571428573</v>
      </c>
    </row>
    <row r="397" spans="1:23" x14ac:dyDescent="0.45">
      <c r="A397" s="1" t="s">
        <v>403</v>
      </c>
      <c r="B397" s="1" t="s">
        <v>343</v>
      </c>
      <c r="C397" s="2">
        <v>2</v>
      </c>
      <c r="D397" s="2">
        <v>2.9000000000000004</v>
      </c>
      <c r="E397" s="2">
        <v>0</v>
      </c>
      <c r="F397" s="2">
        <v>11.5</v>
      </c>
      <c r="G397" s="2">
        <v>1.5</v>
      </c>
      <c r="H397" s="2">
        <v>4.7</v>
      </c>
      <c r="I397" s="2">
        <v>4.5</v>
      </c>
      <c r="J397" s="2">
        <v>0</v>
      </c>
      <c r="K397" s="2">
        <v>5.8000000000000007</v>
      </c>
      <c r="L397" s="2">
        <v>-0.7</v>
      </c>
      <c r="M397" s="2">
        <v>1.5</v>
      </c>
      <c r="N397" s="2">
        <v>1.3</v>
      </c>
      <c r="O397" s="2">
        <v>2.9000000000000004</v>
      </c>
      <c r="P397" s="2">
        <v>0</v>
      </c>
      <c r="Q397" s="2">
        <v>5.0999999999999996</v>
      </c>
      <c r="R397" s="2">
        <v>21.5</v>
      </c>
      <c r="S397" s="2">
        <v>19.3</v>
      </c>
      <c r="T397" s="2">
        <v>6.1000000000000005</v>
      </c>
      <c r="U397" s="1">
        <f>COUNTIF(C397:T397,"&gt;"&amp;VLOOKUP(B397,MetaTable,3,FALSE))</f>
        <v>3</v>
      </c>
      <c r="V397">
        <v>89.9</v>
      </c>
      <c r="W397">
        <f t="shared" si="6"/>
        <v>6.4214285714285717</v>
      </c>
    </row>
    <row r="398" spans="1:23" x14ac:dyDescent="0.45">
      <c r="A398" s="1" t="s">
        <v>404</v>
      </c>
      <c r="B398" s="1" t="s">
        <v>343</v>
      </c>
      <c r="C398" s="2">
        <v>0</v>
      </c>
      <c r="D398" s="2">
        <v>0</v>
      </c>
      <c r="E398" s="2">
        <v>0</v>
      </c>
      <c r="F398" s="2">
        <v>0</v>
      </c>
      <c r="G398" s="2">
        <v>8.8000000000000007</v>
      </c>
      <c r="H398" s="2">
        <v>4.5</v>
      </c>
      <c r="I398" s="2">
        <v>1.5</v>
      </c>
      <c r="J398" s="2">
        <v>15.8</v>
      </c>
      <c r="K398" s="2">
        <v>4.5999999999999996</v>
      </c>
      <c r="L398" s="2">
        <v>5.6000000000000005</v>
      </c>
      <c r="M398" s="2">
        <v>0</v>
      </c>
      <c r="N398" s="2">
        <v>0</v>
      </c>
      <c r="O398" s="2">
        <v>0</v>
      </c>
      <c r="P398" s="2">
        <v>0</v>
      </c>
      <c r="Q398" s="2">
        <v>19</v>
      </c>
      <c r="R398" s="2">
        <v>1.8</v>
      </c>
      <c r="S398" s="2">
        <v>4.5</v>
      </c>
      <c r="T398" s="2">
        <v>10.46</v>
      </c>
      <c r="U398" s="1">
        <f>COUNTIF(C398:T398,"&gt;"&amp;VLOOKUP(B398,MetaTable,3,FALSE))</f>
        <v>3</v>
      </c>
      <c r="V398">
        <v>76.56</v>
      </c>
      <c r="W398">
        <f t="shared" si="6"/>
        <v>7.6560000000000006</v>
      </c>
    </row>
    <row r="399" spans="1:23" x14ac:dyDescent="0.45">
      <c r="A399" s="1" t="s">
        <v>405</v>
      </c>
      <c r="B399" s="1" t="s">
        <v>343</v>
      </c>
      <c r="C399" s="2">
        <v>2.4000000000000004</v>
      </c>
      <c r="D399" s="2">
        <v>0</v>
      </c>
      <c r="E399" s="2">
        <v>1.2000000000000002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1</v>
      </c>
      <c r="L399" s="2">
        <v>24.4</v>
      </c>
      <c r="M399" s="2">
        <v>15.700000000000001</v>
      </c>
      <c r="N399" s="2">
        <v>0</v>
      </c>
      <c r="O399" s="2">
        <v>10.6</v>
      </c>
      <c r="P399" s="2">
        <v>7.1000000000000005</v>
      </c>
      <c r="Q399" s="2">
        <v>7.8000000000000007</v>
      </c>
      <c r="R399" s="2">
        <v>0</v>
      </c>
      <c r="S399" s="2">
        <v>0</v>
      </c>
      <c r="T399" s="2">
        <v>4.8000000000000007</v>
      </c>
      <c r="U399" s="1">
        <f>COUNTIF(C399:T399,"&gt;"&amp;VLOOKUP(B399,MetaTable,3,FALSE))</f>
        <v>3</v>
      </c>
      <c r="V399">
        <v>75</v>
      </c>
      <c r="W399">
        <f t="shared" si="6"/>
        <v>9.375</v>
      </c>
    </row>
    <row r="400" spans="1:23" x14ac:dyDescent="0.45">
      <c r="A400" s="1" t="s">
        <v>406</v>
      </c>
      <c r="B400" s="1" t="s">
        <v>343</v>
      </c>
      <c r="C400" s="2">
        <v>0.8</v>
      </c>
      <c r="D400" s="2">
        <v>0.7</v>
      </c>
      <c r="E400" s="2">
        <v>0.9</v>
      </c>
      <c r="F400" s="2">
        <v>0</v>
      </c>
      <c r="G400" s="2">
        <v>0</v>
      </c>
      <c r="H400" s="2">
        <v>-0.5</v>
      </c>
      <c r="I400" s="2">
        <v>14.1</v>
      </c>
      <c r="J400" s="2">
        <v>25.4</v>
      </c>
      <c r="K400" s="2">
        <v>16.5</v>
      </c>
      <c r="L400" s="2">
        <v>0</v>
      </c>
      <c r="M400" s="2">
        <v>6.2</v>
      </c>
      <c r="N400" s="2">
        <v>1.8000000000000003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1">
        <f>COUNTIF(C400:T400,"&gt;"&amp;VLOOKUP(B400,MetaTable,3,FALSE))</f>
        <v>3</v>
      </c>
      <c r="V400">
        <v>65.900000000000006</v>
      </c>
      <c r="W400">
        <f t="shared" si="6"/>
        <v>13.180000000000001</v>
      </c>
    </row>
    <row r="401" spans="1:23" x14ac:dyDescent="0.45">
      <c r="A401" s="1" t="s">
        <v>407</v>
      </c>
      <c r="B401" s="1" t="s">
        <v>343</v>
      </c>
      <c r="C401" s="2">
        <v>14.8</v>
      </c>
      <c r="D401" s="2">
        <v>18.900000000000002</v>
      </c>
      <c r="E401" s="2">
        <v>0</v>
      </c>
      <c r="F401" s="2">
        <v>11.700000000000001</v>
      </c>
      <c r="G401" s="2">
        <v>16.600000000000001</v>
      </c>
      <c r="H401" s="2">
        <v>1.8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1">
        <f>COUNTIF(C401:T401,"&gt;"&amp;VLOOKUP(B401,MetaTable,3,FALSE))</f>
        <v>4</v>
      </c>
      <c r="V401">
        <v>63.8</v>
      </c>
      <c r="W401">
        <f t="shared" si="6"/>
        <v>12.76</v>
      </c>
    </row>
    <row r="402" spans="1:23" x14ac:dyDescent="0.45">
      <c r="A402" s="1" t="s">
        <v>408</v>
      </c>
      <c r="B402" s="1" t="s">
        <v>343</v>
      </c>
      <c r="C402" s="2">
        <v>12.5</v>
      </c>
      <c r="D402" s="2">
        <v>2.6</v>
      </c>
      <c r="E402" s="2">
        <v>2.6</v>
      </c>
      <c r="F402" s="2">
        <v>2.1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9.1</v>
      </c>
      <c r="P402" s="2">
        <v>6.8</v>
      </c>
      <c r="Q402" s="2">
        <v>4.9000000000000004</v>
      </c>
      <c r="R402" s="2">
        <v>6.3000000000000007</v>
      </c>
      <c r="S402" s="2">
        <v>7.2</v>
      </c>
      <c r="T402" s="2">
        <v>2.5</v>
      </c>
      <c r="U402" s="1">
        <f>COUNTIF(C402:T402,"&gt;"&amp;VLOOKUP(B402,MetaTable,3,FALSE))</f>
        <v>1</v>
      </c>
      <c r="V402">
        <v>56.6</v>
      </c>
      <c r="W402">
        <f t="shared" si="6"/>
        <v>5.66</v>
      </c>
    </row>
    <row r="403" spans="1:23" x14ac:dyDescent="0.45">
      <c r="A403" s="1" t="s">
        <v>409</v>
      </c>
      <c r="B403" s="1" t="s">
        <v>343</v>
      </c>
      <c r="C403" s="2">
        <v>13.8</v>
      </c>
      <c r="D403" s="2">
        <v>16</v>
      </c>
      <c r="E403" s="2">
        <v>23.1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1">
        <f>COUNTIF(C403:T403,"&gt;"&amp;VLOOKUP(B403,MetaTable,3,FALSE))</f>
        <v>3</v>
      </c>
      <c r="V403">
        <v>52.9</v>
      </c>
      <c r="W403">
        <f t="shared" si="6"/>
        <v>17.633333333333333</v>
      </c>
    </row>
    <row r="404" spans="1:23" x14ac:dyDescent="0.45">
      <c r="A404" s="1" t="s">
        <v>410</v>
      </c>
      <c r="B404" s="1" t="s">
        <v>343</v>
      </c>
      <c r="C404" s="2">
        <v>8.8000000000000007</v>
      </c>
      <c r="D404" s="2">
        <v>8.8000000000000007</v>
      </c>
      <c r="E404" s="2">
        <v>9.6000000000000014</v>
      </c>
      <c r="F404" s="2">
        <v>12.600000000000001</v>
      </c>
      <c r="G404" s="2">
        <v>13</v>
      </c>
      <c r="H404" s="2">
        <v>7.5</v>
      </c>
      <c r="I404" s="2">
        <v>5.3000000000000007</v>
      </c>
      <c r="J404" s="2">
        <v>5.5</v>
      </c>
      <c r="K404" s="2">
        <v>2.5</v>
      </c>
      <c r="L404" s="2">
        <v>7.6000000000000005</v>
      </c>
      <c r="M404" s="2">
        <v>0</v>
      </c>
      <c r="N404" s="2">
        <v>7.2</v>
      </c>
      <c r="O404" s="2">
        <v>1.6</v>
      </c>
      <c r="P404" s="2">
        <v>5.8000000000000007</v>
      </c>
      <c r="Q404" s="2">
        <v>5.8000000000000007</v>
      </c>
      <c r="R404" s="2">
        <v>9.6999999999999993</v>
      </c>
      <c r="S404" s="2">
        <v>15.600000000000001</v>
      </c>
      <c r="T404" s="2">
        <v>9.3000000000000007</v>
      </c>
      <c r="U404" s="1">
        <f>COUNTIF(C404:T404,"&gt;"&amp;VLOOKUP(B404,MetaTable,3,FALSE))</f>
        <v>3</v>
      </c>
      <c r="V404">
        <v>136.19999999999999</v>
      </c>
      <c r="W404">
        <f t="shared" si="6"/>
        <v>8.0117647058823529</v>
      </c>
    </row>
    <row r="405" spans="1:23" x14ac:dyDescent="0.45">
      <c r="A405" s="1" t="s">
        <v>411</v>
      </c>
      <c r="B405" s="1" t="s">
        <v>343</v>
      </c>
      <c r="C405" s="2">
        <v>5.0999999999999996</v>
      </c>
      <c r="D405" s="2">
        <v>3.6</v>
      </c>
      <c r="E405" s="2">
        <v>5.6</v>
      </c>
      <c r="F405" s="2">
        <v>14.3</v>
      </c>
      <c r="G405" s="2">
        <v>12.2</v>
      </c>
      <c r="H405" s="2">
        <v>11</v>
      </c>
      <c r="I405" s="2">
        <v>7.8000000000000007</v>
      </c>
      <c r="J405" s="2">
        <v>2.1</v>
      </c>
      <c r="K405" s="2">
        <v>1.9000000000000001</v>
      </c>
      <c r="L405" s="2">
        <v>0</v>
      </c>
      <c r="M405" s="2">
        <v>7.1000000000000005</v>
      </c>
      <c r="N405" s="2">
        <v>12.600000000000001</v>
      </c>
      <c r="O405" s="2">
        <v>6.7</v>
      </c>
      <c r="P405" s="2">
        <v>0</v>
      </c>
      <c r="Q405" s="2">
        <v>6.8000000000000007</v>
      </c>
      <c r="R405" s="2">
        <v>2.9000000000000004</v>
      </c>
      <c r="S405" s="2">
        <v>21.4</v>
      </c>
      <c r="T405" s="2">
        <v>10.199999999999999</v>
      </c>
      <c r="U405" s="1">
        <f>COUNTIF(C405:T405,"&gt;"&amp;VLOOKUP(B405,MetaTable,3,FALSE))</f>
        <v>6</v>
      </c>
      <c r="V405">
        <v>131.30000000000001</v>
      </c>
      <c r="W405">
        <f t="shared" si="6"/>
        <v>8.2062500000000007</v>
      </c>
    </row>
    <row r="406" spans="1:23" x14ac:dyDescent="0.45">
      <c r="A406" s="1" t="s">
        <v>412</v>
      </c>
      <c r="B406" s="1" t="s">
        <v>343</v>
      </c>
      <c r="C406" s="2">
        <v>1.7000000000000002</v>
      </c>
      <c r="D406" s="2">
        <v>11.200000000000001</v>
      </c>
      <c r="E406" s="2">
        <v>11.7</v>
      </c>
      <c r="F406" s="2">
        <v>3.9000000000000004</v>
      </c>
      <c r="G406" s="2">
        <v>18.200000000000003</v>
      </c>
      <c r="H406" s="2">
        <v>6.3</v>
      </c>
      <c r="I406" s="2">
        <v>0</v>
      </c>
      <c r="J406" s="2">
        <v>5.9</v>
      </c>
      <c r="K406" s="2">
        <v>9.4</v>
      </c>
      <c r="L406" s="2">
        <v>2.9000000000000004</v>
      </c>
      <c r="M406" s="2">
        <v>3.1</v>
      </c>
      <c r="N406" s="2">
        <v>9.1999999999999993</v>
      </c>
      <c r="O406" s="2">
        <v>5.1000000000000005</v>
      </c>
      <c r="P406" s="2">
        <v>0</v>
      </c>
      <c r="Q406" s="2">
        <v>7.6</v>
      </c>
      <c r="R406" s="2">
        <v>9</v>
      </c>
      <c r="S406" s="2">
        <v>10.5</v>
      </c>
      <c r="T406" s="2">
        <v>11.8</v>
      </c>
      <c r="U406" s="1">
        <f>COUNTIF(C406:T406,"&gt;"&amp;VLOOKUP(B406,MetaTable,3,FALSE))</f>
        <v>5</v>
      </c>
      <c r="V406">
        <v>127.5</v>
      </c>
      <c r="W406">
        <f t="shared" si="6"/>
        <v>7.96875</v>
      </c>
    </row>
    <row r="407" spans="1:23" x14ac:dyDescent="0.45">
      <c r="A407" s="1" t="s">
        <v>413</v>
      </c>
      <c r="B407" s="1" t="s">
        <v>343</v>
      </c>
      <c r="C407" s="2">
        <v>2.2000000000000002</v>
      </c>
      <c r="D407" s="2">
        <v>0</v>
      </c>
      <c r="E407" s="2">
        <v>11.3</v>
      </c>
      <c r="F407" s="2">
        <v>2.8</v>
      </c>
      <c r="G407" s="2">
        <v>8.9</v>
      </c>
      <c r="H407" s="2">
        <v>18.200000000000003</v>
      </c>
      <c r="I407" s="2">
        <v>2.4000000000000004</v>
      </c>
      <c r="J407" s="2">
        <v>2.2000000000000002</v>
      </c>
      <c r="K407" s="2">
        <v>7</v>
      </c>
      <c r="L407" s="2">
        <v>7</v>
      </c>
      <c r="M407" s="2">
        <v>7.9</v>
      </c>
      <c r="N407" s="2">
        <v>8.8000000000000007</v>
      </c>
      <c r="O407" s="2">
        <v>4</v>
      </c>
      <c r="P407" s="2">
        <v>0</v>
      </c>
      <c r="Q407" s="2">
        <v>8.6</v>
      </c>
      <c r="R407" s="2">
        <v>5.9</v>
      </c>
      <c r="S407" s="2">
        <v>12.600000000000001</v>
      </c>
      <c r="T407" s="2">
        <v>4.9000000000000004</v>
      </c>
      <c r="U407" s="1">
        <f>COUNTIF(C407:T407,"&gt;"&amp;VLOOKUP(B407,MetaTable,3,FALSE))</f>
        <v>3</v>
      </c>
      <c r="V407">
        <v>114.7</v>
      </c>
      <c r="W407">
        <f t="shared" si="6"/>
        <v>7.1687500000000002</v>
      </c>
    </row>
    <row r="408" spans="1:23" x14ac:dyDescent="0.45">
      <c r="A408" s="1" t="s">
        <v>414</v>
      </c>
      <c r="B408" s="1" t="s">
        <v>343</v>
      </c>
      <c r="C408" s="2">
        <v>3.2</v>
      </c>
      <c r="D408" s="2">
        <v>2.2999999999999998</v>
      </c>
      <c r="E408" s="2">
        <v>19.100000000000001</v>
      </c>
      <c r="F408" s="2">
        <v>12.900000000000002</v>
      </c>
      <c r="G408" s="2">
        <v>3.6</v>
      </c>
      <c r="H408" s="2">
        <v>0</v>
      </c>
      <c r="I408" s="2">
        <v>6.2</v>
      </c>
      <c r="J408" s="2">
        <v>4.3000000000000007</v>
      </c>
      <c r="K408" s="2">
        <v>1.5</v>
      </c>
      <c r="L408" s="2">
        <v>0</v>
      </c>
      <c r="M408" s="2">
        <v>5</v>
      </c>
      <c r="N408" s="2">
        <v>11.700000000000001</v>
      </c>
      <c r="O408" s="2">
        <v>13.4</v>
      </c>
      <c r="P408" s="2">
        <v>1.7000000000000002</v>
      </c>
      <c r="Q408" s="2">
        <v>2.8</v>
      </c>
      <c r="R408" s="2">
        <v>4.3000000000000007</v>
      </c>
      <c r="S408" s="2">
        <v>9.9</v>
      </c>
      <c r="T408" s="2">
        <v>3.9000000000000004</v>
      </c>
      <c r="U408" s="1">
        <f>COUNTIF(C408:T408,"&gt;"&amp;VLOOKUP(B408,MetaTable,3,FALSE))</f>
        <v>4</v>
      </c>
      <c r="V408">
        <v>105.8</v>
      </c>
      <c r="W408">
        <f t="shared" si="6"/>
        <v>6.6124999999999998</v>
      </c>
    </row>
    <row r="409" spans="1:23" x14ac:dyDescent="0.45">
      <c r="A409" s="1" t="s">
        <v>415</v>
      </c>
      <c r="B409" s="1" t="s">
        <v>343</v>
      </c>
      <c r="C409" s="2">
        <v>2.6</v>
      </c>
      <c r="D409" s="2">
        <v>2.6</v>
      </c>
      <c r="E409" s="2">
        <v>24.1</v>
      </c>
      <c r="F409" s="2">
        <v>5.5</v>
      </c>
      <c r="G409" s="2">
        <v>8</v>
      </c>
      <c r="H409" s="2">
        <v>6.2</v>
      </c>
      <c r="I409" s="2">
        <v>14.600000000000001</v>
      </c>
      <c r="J409" s="2">
        <v>0.8</v>
      </c>
      <c r="K409" s="2">
        <v>0</v>
      </c>
      <c r="L409" s="2">
        <v>0</v>
      </c>
      <c r="M409" s="2">
        <v>6.5</v>
      </c>
      <c r="N409" s="2">
        <v>0</v>
      </c>
      <c r="O409" s="2">
        <v>2.7</v>
      </c>
      <c r="P409" s="2">
        <v>12.5</v>
      </c>
      <c r="Q409" s="2">
        <v>0</v>
      </c>
      <c r="R409" s="2">
        <v>1.5</v>
      </c>
      <c r="S409" s="2">
        <v>13.100000000000001</v>
      </c>
      <c r="T409" s="2">
        <v>0</v>
      </c>
      <c r="U409" s="1">
        <f>COUNTIF(C409:T409,"&gt;"&amp;VLOOKUP(B409,MetaTable,3,FALSE))</f>
        <v>4</v>
      </c>
      <c r="V409">
        <v>100.7</v>
      </c>
      <c r="W409">
        <f t="shared" si="6"/>
        <v>8.3916666666666675</v>
      </c>
    </row>
    <row r="410" spans="1:23" x14ac:dyDescent="0.45">
      <c r="A410" s="1" t="s">
        <v>416</v>
      </c>
      <c r="B410" s="1" t="s">
        <v>343</v>
      </c>
      <c r="C410" s="2">
        <v>5.5</v>
      </c>
      <c r="D410" s="2">
        <v>0</v>
      </c>
      <c r="E410" s="2">
        <v>5.2</v>
      </c>
      <c r="F410" s="2">
        <v>16.600000000000001</v>
      </c>
      <c r="G410" s="2">
        <v>1.3</v>
      </c>
      <c r="H410" s="2">
        <v>9.8000000000000007</v>
      </c>
      <c r="I410" s="2">
        <v>1.9000000000000001</v>
      </c>
      <c r="J410" s="2">
        <v>11.4</v>
      </c>
      <c r="K410" s="2">
        <v>11.9</v>
      </c>
      <c r="L410" s="2">
        <v>5.5</v>
      </c>
      <c r="M410" s="2">
        <v>0</v>
      </c>
      <c r="N410" s="2">
        <v>7.6000000000000005</v>
      </c>
      <c r="O410" s="2">
        <v>7.3000000000000007</v>
      </c>
      <c r="P410" s="2">
        <v>4.9000000000000004</v>
      </c>
      <c r="Q410" s="2">
        <v>1.9</v>
      </c>
      <c r="R410" s="2">
        <v>0</v>
      </c>
      <c r="S410" s="2">
        <v>5.3000000000000007</v>
      </c>
      <c r="T410" s="2">
        <v>4.5</v>
      </c>
      <c r="U410" s="1">
        <f>COUNTIF(C410:T410,"&gt;"&amp;VLOOKUP(B410,MetaTable,3,FALSE))</f>
        <v>3</v>
      </c>
      <c r="V410">
        <v>100.6</v>
      </c>
      <c r="W410">
        <f t="shared" si="6"/>
        <v>6.7066666666666661</v>
      </c>
    </row>
    <row r="411" spans="1:23" x14ac:dyDescent="0.45">
      <c r="A411" s="1" t="s">
        <v>417</v>
      </c>
      <c r="B411" s="1" t="s">
        <v>343</v>
      </c>
      <c r="C411" s="2">
        <v>7.1000000000000005</v>
      </c>
      <c r="D411" s="2">
        <v>0</v>
      </c>
      <c r="E411" s="2">
        <v>8.9</v>
      </c>
      <c r="F411" s="2">
        <v>6.6000000000000005</v>
      </c>
      <c r="G411" s="2">
        <v>11.4</v>
      </c>
      <c r="H411" s="2">
        <v>4.0999999999999996</v>
      </c>
      <c r="I411" s="2">
        <v>14.5</v>
      </c>
      <c r="J411" s="2">
        <v>15.5</v>
      </c>
      <c r="K411" s="2">
        <v>4.5999999999999996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6.9</v>
      </c>
      <c r="R411" s="2">
        <v>2.2000000000000002</v>
      </c>
      <c r="S411" s="2">
        <v>10.199999999999999</v>
      </c>
      <c r="T411" s="2">
        <v>5</v>
      </c>
      <c r="U411" s="1">
        <f>COUNTIF(C411:T411,"&gt;"&amp;VLOOKUP(B411,MetaTable,3,FALSE))</f>
        <v>4</v>
      </c>
      <c r="V411">
        <v>97</v>
      </c>
      <c r="W411">
        <f t="shared" si="6"/>
        <v>8.0833333333333339</v>
      </c>
    </row>
    <row r="412" spans="1:23" x14ac:dyDescent="0.45">
      <c r="A412" s="1" t="s">
        <v>418</v>
      </c>
      <c r="B412" s="1" t="s">
        <v>343</v>
      </c>
      <c r="C412" s="2">
        <v>0</v>
      </c>
      <c r="D412" s="2">
        <v>10.1</v>
      </c>
      <c r="E412" s="2">
        <v>0</v>
      </c>
      <c r="F412" s="2">
        <v>22.3</v>
      </c>
      <c r="G412" s="2">
        <v>3</v>
      </c>
      <c r="H412" s="2">
        <v>1.4</v>
      </c>
      <c r="I412" s="2">
        <v>12.3</v>
      </c>
      <c r="J412" s="2">
        <v>2.1</v>
      </c>
      <c r="K412" s="2">
        <v>0</v>
      </c>
      <c r="L412" s="2">
        <v>0</v>
      </c>
      <c r="M412" s="2">
        <v>0</v>
      </c>
      <c r="N412" s="2">
        <v>3</v>
      </c>
      <c r="O412" s="2">
        <v>5</v>
      </c>
      <c r="P412" s="2">
        <v>6.9</v>
      </c>
      <c r="Q412" s="2">
        <v>2.4000000000000004</v>
      </c>
      <c r="R412" s="2">
        <v>8.8000000000000007</v>
      </c>
      <c r="S412" s="2">
        <v>6.3</v>
      </c>
      <c r="T412" s="2">
        <v>7.4</v>
      </c>
      <c r="U412" s="1">
        <f>COUNTIF(C412:T412,"&gt;"&amp;VLOOKUP(B412,MetaTable,3,FALSE))</f>
        <v>3</v>
      </c>
      <c r="V412">
        <v>91</v>
      </c>
      <c r="W412">
        <f t="shared" si="6"/>
        <v>7</v>
      </c>
    </row>
    <row r="413" spans="1:23" x14ac:dyDescent="0.45">
      <c r="A413" s="1" t="s">
        <v>419</v>
      </c>
      <c r="B413" s="1" t="s">
        <v>343</v>
      </c>
      <c r="C413" s="2">
        <v>8.8000000000000007</v>
      </c>
      <c r="D413" s="2">
        <v>0</v>
      </c>
      <c r="E413" s="2">
        <v>7.7</v>
      </c>
      <c r="F413" s="2">
        <v>0</v>
      </c>
      <c r="G413" s="2">
        <v>0</v>
      </c>
      <c r="H413" s="2">
        <v>14.3</v>
      </c>
      <c r="I413" s="2">
        <v>1</v>
      </c>
      <c r="J413" s="2">
        <v>5.9</v>
      </c>
      <c r="K413" s="2">
        <v>7.2</v>
      </c>
      <c r="L413" s="2">
        <v>0</v>
      </c>
      <c r="M413" s="2">
        <v>17</v>
      </c>
      <c r="N413" s="2">
        <v>0.4</v>
      </c>
      <c r="O413" s="2">
        <v>7.7</v>
      </c>
      <c r="P413" s="2">
        <v>11.4</v>
      </c>
      <c r="Q413" s="2">
        <v>7.1000000000000005</v>
      </c>
      <c r="R413" s="2">
        <v>2.3000000000000003</v>
      </c>
      <c r="S413" s="2">
        <v>0</v>
      </c>
      <c r="T413" s="2">
        <v>0</v>
      </c>
      <c r="U413" s="1">
        <f>COUNTIF(C413:T413,"&gt;"&amp;VLOOKUP(B413,MetaTable,3,FALSE))</f>
        <v>3</v>
      </c>
      <c r="V413">
        <v>90.8</v>
      </c>
      <c r="W413">
        <f t="shared" si="6"/>
        <v>9.08</v>
      </c>
    </row>
    <row r="414" spans="1:23" x14ac:dyDescent="0.45">
      <c r="A414" s="1" t="s">
        <v>420</v>
      </c>
      <c r="B414" s="1" t="s">
        <v>343</v>
      </c>
      <c r="C414" s="2">
        <v>4.0999999999999996</v>
      </c>
      <c r="D414" s="2">
        <v>4.8000000000000007</v>
      </c>
      <c r="E414" s="2">
        <v>1.2000000000000002</v>
      </c>
      <c r="F414" s="2">
        <v>7.1000000000000005</v>
      </c>
      <c r="G414" s="2">
        <v>22.200000000000003</v>
      </c>
      <c r="H414" s="2">
        <v>8.6999999999999993</v>
      </c>
      <c r="I414" s="2">
        <v>1.6</v>
      </c>
      <c r="J414" s="2">
        <v>12.8</v>
      </c>
      <c r="K414" s="2">
        <v>7.5</v>
      </c>
      <c r="L414" s="2">
        <v>0</v>
      </c>
      <c r="M414" s="2">
        <v>0</v>
      </c>
      <c r="N414" s="2">
        <v>0</v>
      </c>
      <c r="O414" s="2">
        <v>1.8</v>
      </c>
      <c r="P414" s="2">
        <v>3.7</v>
      </c>
      <c r="Q414" s="2">
        <v>2.1</v>
      </c>
      <c r="R414" s="2">
        <v>3.2</v>
      </c>
      <c r="S414" s="2">
        <v>9.6999999999999993</v>
      </c>
      <c r="T414" s="2">
        <v>0</v>
      </c>
      <c r="U414" s="1">
        <f>COUNTIF(C414:T414,"&gt;"&amp;VLOOKUP(B414,MetaTable,3,FALSE))</f>
        <v>2</v>
      </c>
      <c r="V414">
        <v>90.5</v>
      </c>
      <c r="W414">
        <f t="shared" si="6"/>
        <v>6.4642857142857144</v>
      </c>
    </row>
    <row r="415" spans="1:23" x14ac:dyDescent="0.45">
      <c r="A415" s="1" t="s">
        <v>421</v>
      </c>
      <c r="B415" s="1" t="s">
        <v>343</v>
      </c>
      <c r="C415" s="2">
        <v>8.6</v>
      </c>
      <c r="D415" s="2">
        <v>12.9</v>
      </c>
      <c r="E415" s="2">
        <v>10.9</v>
      </c>
      <c r="F415" s="2">
        <v>1.6</v>
      </c>
      <c r="G415" s="2">
        <v>0</v>
      </c>
      <c r="H415" s="2">
        <v>0</v>
      </c>
      <c r="I415" s="2">
        <v>9.6000000000000014</v>
      </c>
      <c r="J415" s="2">
        <v>2.6</v>
      </c>
      <c r="K415" s="2">
        <v>7.2</v>
      </c>
      <c r="L415" s="2">
        <v>0.9</v>
      </c>
      <c r="M415" s="2">
        <v>0</v>
      </c>
      <c r="N415" s="2">
        <v>7</v>
      </c>
      <c r="O415" s="2">
        <v>2.2999999999999998</v>
      </c>
      <c r="P415" s="2">
        <v>0</v>
      </c>
      <c r="Q415" s="2">
        <v>1</v>
      </c>
      <c r="R415" s="2">
        <v>1</v>
      </c>
      <c r="S415" s="2">
        <v>16.600000000000001</v>
      </c>
      <c r="T415" s="2">
        <v>6.8000000000000007</v>
      </c>
      <c r="U415" s="1">
        <f>COUNTIF(C415:T415,"&gt;"&amp;VLOOKUP(B415,MetaTable,3,FALSE))</f>
        <v>3</v>
      </c>
      <c r="V415">
        <v>89</v>
      </c>
      <c r="W415">
        <f t="shared" si="6"/>
        <v>8.0909090909090917</v>
      </c>
    </row>
    <row r="416" spans="1:23" x14ac:dyDescent="0.45">
      <c r="A416" s="1" t="s">
        <v>422</v>
      </c>
      <c r="B416" s="1" t="s">
        <v>343</v>
      </c>
      <c r="C416" s="2">
        <v>0</v>
      </c>
      <c r="D416" s="2">
        <v>1.6</v>
      </c>
      <c r="E416" s="2">
        <v>12.700000000000001</v>
      </c>
      <c r="F416" s="2">
        <v>0</v>
      </c>
      <c r="G416" s="2">
        <v>6.4</v>
      </c>
      <c r="H416" s="2">
        <v>3</v>
      </c>
      <c r="I416" s="2">
        <v>0</v>
      </c>
      <c r="J416" s="2">
        <v>3.2</v>
      </c>
      <c r="K416" s="2">
        <v>5.0999999999999996</v>
      </c>
      <c r="L416" s="2">
        <v>0</v>
      </c>
      <c r="M416" s="2">
        <v>16.100000000000001</v>
      </c>
      <c r="N416" s="2">
        <v>1.3</v>
      </c>
      <c r="O416" s="2">
        <v>7.5000000000000009</v>
      </c>
      <c r="P416" s="2">
        <v>3.6</v>
      </c>
      <c r="Q416" s="2">
        <v>2.7</v>
      </c>
      <c r="R416" s="2">
        <v>2.3000000000000003</v>
      </c>
      <c r="S416" s="2">
        <v>3.9</v>
      </c>
      <c r="T416" s="2">
        <v>7.3000000000000007</v>
      </c>
      <c r="U416" s="1">
        <f>COUNTIF(C416:T416,"&gt;"&amp;VLOOKUP(B416,MetaTable,3,FALSE))</f>
        <v>2</v>
      </c>
      <c r="V416">
        <v>76.7</v>
      </c>
      <c r="W416">
        <f t="shared" si="6"/>
        <v>5.4785714285714286</v>
      </c>
    </row>
    <row r="417" spans="1:23" x14ac:dyDescent="0.45">
      <c r="A417" s="1" t="s">
        <v>423</v>
      </c>
      <c r="B417" s="1" t="s">
        <v>343</v>
      </c>
      <c r="C417" s="2">
        <v>0</v>
      </c>
      <c r="D417" s="2">
        <v>2.2000000000000002</v>
      </c>
      <c r="E417" s="2">
        <v>1.3</v>
      </c>
      <c r="F417" s="2">
        <v>6.2</v>
      </c>
      <c r="G417" s="2">
        <v>0</v>
      </c>
      <c r="H417" s="2">
        <v>8.3000000000000007</v>
      </c>
      <c r="I417" s="2">
        <v>3.5</v>
      </c>
      <c r="J417" s="2">
        <v>0</v>
      </c>
      <c r="K417" s="2">
        <v>2.2000000000000002</v>
      </c>
      <c r="L417" s="2">
        <v>0</v>
      </c>
      <c r="M417" s="2">
        <v>4.0999999999999996</v>
      </c>
      <c r="N417" s="2">
        <v>7.5</v>
      </c>
      <c r="O417" s="2">
        <v>5.8000000000000007</v>
      </c>
      <c r="P417" s="2">
        <v>19.3</v>
      </c>
      <c r="Q417" s="2">
        <v>11</v>
      </c>
      <c r="R417" s="2">
        <v>0</v>
      </c>
      <c r="S417" s="2">
        <v>2</v>
      </c>
      <c r="T417" s="2">
        <v>2.5</v>
      </c>
      <c r="U417" s="1">
        <f>COUNTIF(C417:T417,"&gt;"&amp;VLOOKUP(B417,MetaTable,3,FALSE))</f>
        <v>2</v>
      </c>
      <c r="V417">
        <v>75.900000000000006</v>
      </c>
      <c r="W417">
        <f t="shared" si="6"/>
        <v>5.838461538461539</v>
      </c>
    </row>
    <row r="418" spans="1:23" x14ac:dyDescent="0.45">
      <c r="A418" s="1" t="s">
        <v>424</v>
      </c>
      <c r="B418" s="1" t="s">
        <v>343</v>
      </c>
      <c r="C418" s="2">
        <v>0.8</v>
      </c>
      <c r="D418" s="2">
        <v>0</v>
      </c>
      <c r="E418" s="2">
        <v>2.8</v>
      </c>
      <c r="F418" s="2">
        <v>0</v>
      </c>
      <c r="G418" s="2">
        <v>0</v>
      </c>
      <c r="H418" s="2">
        <v>0</v>
      </c>
      <c r="I418" s="2">
        <v>0</v>
      </c>
      <c r="J418" s="2">
        <v>6.1000000000000005</v>
      </c>
      <c r="K418" s="2">
        <v>5.6000000000000005</v>
      </c>
      <c r="L418" s="2">
        <v>0</v>
      </c>
      <c r="M418" s="2">
        <v>1.5</v>
      </c>
      <c r="N418" s="2">
        <v>0</v>
      </c>
      <c r="O418" s="2">
        <v>21.3</v>
      </c>
      <c r="P418" s="2">
        <v>2.5</v>
      </c>
      <c r="Q418" s="2">
        <v>6.9</v>
      </c>
      <c r="R418" s="2">
        <v>8.4</v>
      </c>
      <c r="S418" s="2">
        <v>10.6</v>
      </c>
      <c r="T418" s="2">
        <v>8.5</v>
      </c>
      <c r="U418" s="1">
        <f>COUNTIF(C418:T418,"&gt;"&amp;VLOOKUP(B418,MetaTable,3,FALSE))</f>
        <v>2</v>
      </c>
      <c r="V418">
        <v>75</v>
      </c>
      <c r="W418">
        <f t="shared" si="6"/>
        <v>7.5</v>
      </c>
    </row>
    <row r="419" spans="1:23" x14ac:dyDescent="0.45">
      <c r="A419" s="1" t="s">
        <v>425</v>
      </c>
      <c r="B419" s="1" t="s">
        <v>343</v>
      </c>
      <c r="C419" s="2">
        <v>8.1</v>
      </c>
      <c r="D419" s="2">
        <v>2.1</v>
      </c>
      <c r="E419" s="2">
        <v>5</v>
      </c>
      <c r="F419" s="2">
        <v>5.8000000000000007</v>
      </c>
      <c r="G419" s="2">
        <v>1.2000000000000002</v>
      </c>
      <c r="H419" s="2">
        <v>3.0999999999999996</v>
      </c>
      <c r="I419" s="2">
        <v>7</v>
      </c>
      <c r="J419" s="2">
        <v>1.4</v>
      </c>
      <c r="K419" s="2">
        <v>0</v>
      </c>
      <c r="L419" s="2">
        <v>0.4</v>
      </c>
      <c r="M419" s="2">
        <v>0</v>
      </c>
      <c r="N419" s="2">
        <v>1</v>
      </c>
      <c r="O419" s="2">
        <v>1.7000000000000002</v>
      </c>
      <c r="P419" s="2">
        <v>1</v>
      </c>
      <c r="Q419" s="2">
        <v>8.1</v>
      </c>
      <c r="R419" s="2">
        <v>3.2</v>
      </c>
      <c r="S419" s="2">
        <v>3.3</v>
      </c>
      <c r="T419" s="2">
        <v>19.399999999999999</v>
      </c>
      <c r="U419" s="1">
        <f>COUNTIF(C419:T419,"&gt;"&amp;VLOOKUP(B419,MetaTable,3,FALSE))</f>
        <v>1</v>
      </c>
      <c r="V419">
        <v>71.8</v>
      </c>
      <c r="W419">
        <f t="shared" si="6"/>
        <v>5.523076923076923</v>
      </c>
    </row>
    <row r="420" spans="1:23" x14ac:dyDescent="0.45">
      <c r="A420" s="1" t="s">
        <v>426</v>
      </c>
      <c r="B420" s="1" t="s">
        <v>343</v>
      </c>
      <c r="C420" s="2">
        <v>1.9000000000000001</v>
      </c>
      <c r="D420" s="2">
        <v>0</v>
      </c>
      <c r="E420" s="2">
        <v>0</v>
      </c>
      <c r="F420" s="2">
        <v>0</v>
      </c>
      <c r="G420" s="2">
        <v>2.2999999999999998</v>
      </c>
      <c r="H420" s="2">
        <v>2.7</v>
      </c>
      <c r="I420" s="2">
        <v>0</v>
      </c>
      <c r="J420" s="2">
        <v>5.9</v>
      </c>
      <c r="K420" s="2">
        <v>3</v>
      </c>
      <c r="L420" s="2">
        <v>2.8</v>
      </c>
      <c r="M420" s="2">
        <v>0</v>
      </c>
      <c r="N420" s="2">
        <v>17.100000000000001</v>
      </c>
      <c r="O420" s="2">
        <v>6.5</v>
      </c>
      <c r="P420" s="2">
        <v>3.5</v>
      </c>
      <c r="Q420" s="2">
        <v>2.9000000000000004</v>
      </c>
      <c r="R420" s="2">
        <v>10.9</v>
      </c>
      <c r="S420" s="2">
        <v>2.2000000000000002</v>
      </c>
      <c r="T420" s="2">
        <v>7.4</v>
      </c>
      <c r="U420" s="1">
        <f>COUNTIF(C420:T420,"&gt;"&amp;VLOOKUP(B420,MetaTable,3,FALSE))</f>
        <v>2</v>
      </c>
      <c r="V420">
        <v>69.099999999999994</v>
      </c>
      <c r="W420">
        <f t="shared" si="6"/>
        <v>5.3153846153846152</v>
      </c>
    </row>
    <row r="421" spans="1:23" x14ac:dyDescent="0.45">
      <c r="A421" s="1" t="s">
        <v>427</v>
      </c>
      <c r="B421" s="1" t="s">
        <v>343</v>
      </c>
      <c r="C421" s="2">
        <v>2.1</v>
      </c>
      <c r="D421" s="2">
        <v>10.8</v>
      </c>
      <c r="E421" s="2">
        <v>17.600000000000001</v>
      </c>
      <c r="F421" s="2">
        <v>12.700000000000001</v>
      </c>
      <c r="G421" s="2">
        <v>2</v>
      </c>
      <c r="H421" s="2">
        <v>-1</v>
      </c>
      <c r="I421" s="2">
        <v>0</v>
      </c>
      <c r="J421" s="2">
        <v>14.700000000000001</v>
      </c>
      <c r="K421" s="2">
        <v>1.8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1">
        <f>COUNTIF(C421:T421,"&gt;"&amp;VLOOKUP(B421,MetaTable,3,FALSE))</f>
        <v>4</v>
      </c>
      <c r="V421">
        <v>60.7</v>
      </c>
      <c r="W421">
        <f t="shared" si="6"/>
        <v>8.6714285714285726</v>
      </c>
    </row>
    <row r="422" spans="1:23" x14ac:dyDescent="0.45">
      <c r="A422" s="1" t="s">
        <v>428</v>
      </c>
      <c r="B422" s="1" t="s">
        <v>343</v>
      </c>
      <c r="C422" s="2">
        <v>3.5</v>
      </c>
      <c r="D422" s="2">
        <v>0.4</v>
      </c>
      <c r="E422" s="2">
        <v>11.9</v>
      </c>
      <c r="F422" s="2">
        <v>15.600000000000001</v>
      </c>
      <c r="G422" s="2">
        <v>10.8</v>
      </c>
      <c r="H422" s="2">
        <v>5.4</v>
      </c>
      <c r="I422" s="2">
        <v>2.9000000000000004</v>
      </c>
      <c r="J422" s="2">
        <v>6.9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1">
        <f>COUNTIF(C422:T422,"&gt;"&amp;VLOOKUP(B422,MetaTable,3,FALSE))</f>
        <v>3</v>
      </c>
      <c r="V422">
        <v>57.4</v>
      </c>
      <c r="W422">
        <f t="shared" si="6"/>
        <v>8.1999999999999993</v>
      </c>
    </row>
    <row r="423" spans="1:23" x14ac:dyDescent="0.45">
      <c r="A423" s="1" t="s">
        <v>429</v>
      </c>
      <c r="B423" s="1" t="s">
        <v>343</v>
      </c>
      <c r="C423" s="2">
        <v>0</v>
      </c>
      <c r="D423" s="2">
        <v>0</v>
      </c>
      <c r="E423" s="2">
        <v>0</v>
      </c>
      <c r="F423" s="2">
        <v>0</v>
      </c>
      <c r="G423" s="2">
        <v>1.1000000000000001</v>
      </c>
      <c r="H423" s="2">
        <v>1.9</v>
      </c>
      <c r="I423" s="2">
        <v>1.9000000000000001</v>
      </c>
      <c r="J423" s="2">
        <v>0</v>
      </c>
      <c r="K423" s="2">
        <v>6.1000000000000005</v>
      </c>
      <c r="L423" s="2">
        <v>0</v>
      </c>
      <c r="M423" s="2">
        <v>15.5</v>
      </c>
      <c r="N423" s="2">
        <v>4.5</v>
      </c>
      <c r="O423" s="2">
        <v>6</v>
      </c>
      <c r="P423" s="2">
        <v>0</v>
      </c>
      <c r="Q423" s="2">
        <v>5.9</v>
      </c>
      <c r="R423" s="2">
        <v>2.8</v>
      </c>
      <c r="S423" s="2">
        <v>3.2</v>
      </c>
      <c r="T423" s="2">
        <v>2.2000000000000002</v>
      </c>
      <c r="U423" s="1">
        <f>COUNTIF(C423:T423,"&gt;"&amp;VLOOKUP(B423,MetaTable,3,FALSE))</f>
        <v>1</v>
      </c>
      <c r="V423">
        <v>51.1</v>
      </c>
      <c r="W423">
        <f t="shared" si="6"/>
        <v>4.6454545454545455</v>
      </c>
    </row>
    <row r="424" spans="1:23" x14ac:dyDescent="0.45">
      <c r="A424" s="1" t="s">
        <v>430</v>
      </c>
      <c r="B424" s="1" t="s">
        <v>343</v>
      </c>
      <c r="C424" s="2">
        <v>3.8000000000000003</v>
      </c>
      <c r="D424" s="2">
        <v>6.3</v>
      </c>
      <c r="E424" s="2">
        <v>7.3000000000000007</v>
      </c>
      <c r="F424" s="2">
        <v>5.8000000000000007</v>
      </c>
      <c r="G424" s="2">
        <v>18.700000000000003</v>
      </c>
      <c r="H424" s="2">
        <v>4.7</v>
      </c>
      <c r="I424" s="2">
        <v>3.3000000000000003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1">
        <f>COUNTIF(C424:T424,"&gt;"&amp;VLOOKUP(B424,MetaTable,3,FALSE))</f>
        <v>1</v>
      </c>
      <c r="V424">
        <v>49.9</v>
      </c>
      <c r="W424">
        <f t="shared" si="6"/>
        <v>7.1285714285714281</v>
      </c>
    </row>
    <row r="425" spans="1:23" x14ac:dyDescent="0.45">
      <c r="A425" s="1" t="s">
        <v>431</v>
      </c>
      <c r="B425" s="1" t="s">
        <v>343</v>
      </c>
      <c r="C425" s="2">
        <v>0</v>
      </c>
      <c r="D425" s="2">
        <v>0</v>
      </c>
      <c r="E425" s="2">
        <v>8.6999999999999993</v>
      </c>
      <c r="F425" s="2">
        <v>0</v>
      </c>
      <c r="G425" s="2">
        <v>16.5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1.3</v>
      </c>
      <c r="N425" s="2">
        <v>1.1000000000000001</v>
      </c>
      <c r="O425" s="2">
        <v>1.5</v>
      </c>
      <c r="P425" s="2">
        <v>4.0999999999999996</v>
      </c>
      <c r="Q425" s="2">
        <v>7.2</v>
      </c>
      <c r="R425" s="2">
        <v>0</v>
      </c>
      <c r="S425" s="2">
        <v>2.8</v>
      </c>
      <c r="T425" s="2">
        <v>0.9</v>
      </c>
      <c r="U425" s="1">
        <f>COUNTIF(C425:T425,"&gt;"&amp;VLOOKUP(B425,MetaTable,3,FALSE))</f>
        <v>1</v>
      </c>
      <c r="V425">
        <v>44.1</v>
      </c>
      <c r="W425">
        <f t="shared" si="6"/>
        <v>5.5125000000000002</v>
      </c>
    </row>
    <row r="426" spans="1:23" x14ac:dyDescent="0.45">
      <c r="A426" s="1" t="s">
        <v>432</v>
      </c>
      <c r="B426" s="1" t="s">
        <v>343</v>
      </c>
      <c r="C426" s="2">
        <v>7.7</v>
      </c>
      <c r="D426" s="2">
        <v>5.8</v>
      </c>
      <c r="E426" s="2">
        <v>2.8</v>
      </c>
      <c r="F426" s="2">
        <v>0.3</v>
      </c>
      <c r="G426" s="2">
        <v>3.3000000000000007</v>
      </c>
      <c r="H426" s="2">
        <v>19</v>
      </c>
      <c r="I426" s="2">
        <v>1.8</v>
      </c>
      <c r="J426" s="2">
        <v>0</v>
      </c>
      <c r="K426" s="2">
        <v>0</v>
      </c>
      <c r="L426" s="2">
        <v>2.4000000000000004</v>
      </c>
      <c r="M426" s="2">
        <v>0.8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1">
        <f>COUNTIF(C426:T426,"&gt;"&amp;VLOOKUP(B426,MetaTable,3,FALSE))</f>
        <v>1</v>
      </c>
      <c r="V426">
        <v>43.9</v>
      </c>
      <c r="W426">
        <f t="shared" si="6"/>
        <v>6.2714285714285714</v>
      </c>
    </row>
    <row r="427" spans="1:23" x14ac:dyDescent="0.45">
      <c r="A427" s="1" t="s">
        <v>433</v>
      </c>
      <c r="B427" s="1" t="s">
        <v>343</v>
      </c>
      <c r="C427" s="2">
        <v>0</v>
      </c>
      <c r="D427" s="2">
        <v>0</v>
      </c>
      <c r="E427" s="2">
        <v>0</v>
      </c>
      <c r="F427" s="2">
        <v>1.2000000000000002</v>
      </c>
      <c r="G427" s="2">
        <v>0</v>
      </c>
      <c r="H427" s="2">
        <v>0</v>
      </c>
      <c r="I427" s="2">
        <v>0</v>
      </c>
      <c r="J427" s="2">
        <v>4.4000000000000004</v>
      </c>
      <c r="K427" s="2">
        <v>0</v>
      </c>
      <c r="L427" s="2">
        <v>15.9</v>
      </c>
      <c r="M427" s="2">
        <v>4.8000000000000007</v>
      </c>
      <c r="N427" s="2">
        <v>1.1000000000000001</v>
      </c>
      <c r="O427" s="2">
        <v>2.6</v>
      </c>
      <c r="P427" s="2">
        <v>0</v>
      </c>
      <c r="Q427" s="2">
        <v>2.7</v>
      </c>
      <c r="R427" s="2">
        <v>0</v>
      </c>
      <c r="S427" s="2">
        <v>7.3000000000000007</v>
      </c>
      <c r="T427" s="2">
        <v>3.4000000000000004</v>
      </c>
      <c r="U427" s="1">
        <f>COUNTIF(C427:T427,"&gt;"&amp;VLOOKUP(B427,MetaTable,3,FALSE))</f>
        <v>1</v>
      </c>
      <c r="V427">
        <v>43.4</v>
      </c>
      <c r="W427">
        <f t="shared" si="6"/>
        <v>4.822222222222222</v>
      </c>
    </row>
    <row r="428" spans="1:23" x14ac:dyDescent="0.45">
      <c r="A428" s="1" t="s">
        <v>434</v>
      </c>
      <c r="B428" s="1" t="s">
        <v>343</v>
      </c>
      <c r="C428" s="2">
        <v>0</v>
      </c>
      <c r="D428" s="2">
        <v>0</v>
      </c>
      <c r="E428" s="2">
        <v>0</v>
      </c>
      <c r="F428" s="2">
        <v>0</v>
      </c>
      <c r="G428" s="2">
        <v>4.0999999999999996</v>
      </c>
      <c r="H428" s="2">
        <v>0</v>
      </c>
      <c r="I428" s="2">
        <v>0</v>
      </c>
      <c r="J428" s="2">
        <v>0</v>
      </c>
      <c r="K428" s="2">
        <v>0</v>
      </c>
      <c r="L428" s="2">
        <v>19</v>
      </c>
      <c r="M428" s="2">
        <v>1.3</v>
      </c>
      <c r="N428" s="2">
        <v>2</v>
      </c>
      <c r="O428" s="2">
        <v>2.4000000000000004</v>
      </c>
      <c r="P428" s="2">
        <v>0</v>
      </c>
      <c r="Q428" s="2">
        <v>1.3</v>
      </c>
      <c r="R428" s="2">
        <v>0</v>
      </c>
      <c r="S428" s="2">
        <v>0.7</v>
      </c>
      <c r="T428" s="2">
        <v>0</v>
      </c>
      <c r="U428" s="1">
        <f>COUNTIF(C428:T428,"&gt;"&amp;VLOOKUP(B428,MetaTable,3,FALSE))</f>
        <v>1</v>
      </c>
      <c r="V428">
        <v>30.8</v>
      </c>
      <c r="W428">
        <f t="shared" si="6"/>
        <v>5.1333333333333337</v>
      </c>
    </row>
    <row r="429" spans="1:23" x14ac:dyDescent="0.45">
      <c r="A429" s="1" t="s">
        <v>435</v>
      </c>
      <c r="B429" s="1" t="s">
        <v>343</v>
      </c>
      <c r="C429" s="2">
        <v>7.2</v>
      </c>
      <c r="D429" s="2">
        <v>6</v>
      </c>
      <c r="E429" s="2">
        <v>4.7</v>
      </c>
      <c r="F429" s="2">
        <v>8.1999999999999993</v>
      </c>
      <c r="G429" s="2">
        <v>9.6000000000000014</v>
      </c>
      <c r="H429" s="2">
        <v>2.8</v>
      </c>
      <c r="I429" s="2">
        <v>1.9</v>
      </c>
      <c r="J429" s="2">
        <v>4.1000000000000005</v>
      </c>
      <c r="K429" s="2">
        <v>11</v>
      </c>
      <c r="L429" s="2">
        <v>5.0999999999999996</v>
      </c>
      <c r="M429" s="2">
        <v>7.6000000000000005</v>
      </c>
      <c r="N429" s="2">
        <v>0</v>
      </c>
      <c r="O429" s="2">
        <v>11.3</v>
      </c>
      <c r="P429" s="2">
        <v>12.100000000000001</v>
      </c>
      <c r="Q429" s="2">
        <v>1.9000000000000001</v>
      </c>
      <c r="R429" s="2">
        <v>4.2</v>
      </c>
      <c r="S429" s="2">
        <v>3.2</v>
      </c>
      <c r="T429" s="2">
        <v>8.6000000000000014</v>
      </c>
      <c r="U429" s="1">
        <f>COUNTIF(C429:T429,"&gt;"&amp;VLOOKUP(B429,MetaTable,3,FALSE))</f>
        <v>3</v>
      </c>
      <c r="V429">
        <v>109.5</v>
      </c>
      <c r="W429">
        <f t="shared" si="6"/>
        <v>6.4411764705882355</v>
      </c>
    </row>
    <row r="430" spans="1:23" x14ac:dyDescent="0.45">
      <c r="A430" s="1" t="s">
        <v>436</v>
      </c>
      <c r="B430" s="1" t="s">
        <v>343</v>
      </c>
      <c r="C430" s="2">
        <v>4.0999999999999996</v>
      </c>
      <c r="D430" s="2">
        <v>13.7</v>
      </c>
      <c r="E430" s="2">
        <v>13.7</v>
      </c>
      <c r="F430" s="2">
        <v>3.4000000000000004</v>
      </c>
      <c r="G430" s="2">
        <v>4.4000000000000004</v>
      </c>
      <c r="H430" s="2">
        <v>4.5999999999999996</v>
      </c>
      <c r="I430" s="2">
        <v>0</v>
      </c>
      <c r="J430" s="2">
        <v>0</v>
      </c>
      <c r="K430" s="2">
        <v>7.5</v>
      </c>
      <c r="L430" s="2">
        <v>3.9000000000000004</v>
      </c>
      <c r="M430" s="2">
        <v>6.1000000000000005</v>
      </c>
      <c r="N430" s="2">
        <v>0</v>
      </c>
      <c r="O430" s="2">
        <v>11</v>
      </c>
      <c r="P430" s="2">
        <v>6.1000000000000005</v>
      </c>
      <c r="Q430" s="2">
        <v>1</v>
      </c>
      <c r="R430" s="2">
        <v>12.8</v>
      </c>
      <c r="S430" s="2">
        <v>7.4</v>
      </c>
      <c r="T430" s="2">
        <v>2.2000000000000002</v>
      </c>
      <c r="U430" s="1">
        <f>COUNTIF(C430:T430,"&gt;"&amp;VLOOKUP(B430,MetaTable,3,FALSE))</f>
        <v>4</v>
      </c>
      <c r="V430">
        <v>101.9</v>
      </c>
      <c r="W430">
        <f t="shared" si="6"/>
        <v>7.2785714285714294</v>
      </c>
    </row>
    <row r="431" spans="1:23" x14ac:dyDescent="0.45">
      <c r="A431" s="1" t="s">
        <v>437</v>
      </c>
      <c r="B431" s="1" t="s">
        <v>343</v>
      </c>
      <c r="C431" s="2">
        <v>7</v>
      </c>
      <c r="D431" s="2">
        <v>4.0999999999999996</v>
      </c>
      <c r="E431" s="2">
        <v>10.4</v>
      </c>
      <c r="F431" s="2">
        <v>3.3000000000000007</v>
      </c>
      <c r="G431" s="2">
        <v>10.3</v>
      </c>
      <c r="H431" s="2">
        <v>9.1</v>
      </c>
      <c r="I431" s="2">
        <v>2</v>
      </c>
      <c r="J431" s="2">
        <v>11.6</v>
      </c>
      <c r="K431" s="2">
        <v>0</v>
      </c>
      <c r="L431" s="2">
        <v>3.9000000000000004</v>
      </c>
      <c r="M431" s="2">
        <v>0</v>
      </c>
      <c r="N431" s="2">
        <v>6.4</v>
      </c>
      <c r="O431" s="2">
        <v>8</v>
      </c>
      <c r="P431" s="2">
        <v>12.7</v>
      </c>
      <c r="Q431" s="2">
        <v>1.9</v>
      </c>
      <c r="R431" s="2">
        <v>5.4</v>
      </c>
      <c r="S431" s="2">
        <v>4.9000000000000004</v>
      </c>
      <c r="T431" s="2">
        <v>0</v>
      </c>
      <c r="U431" s="1">
        <f>COUNTIF(C431:T431,"&gt;"&amp;VLOOKUP(B431,MetaTable,3,FALSE))</f>
        <v>4</v>
      </c>
      <c r="V431">
        <v>101</v>
      </c>
      <c r="W431">
        <f t="shared" si="6"/>
        <v>6.7333333333333334</v>
      </c>
    </row>
    <row r="432" spans="1:23" x14ac:dyDescent="0.45">
      <c r="A432" s="1" t="s">
        <v>438</v>
      </c>
      <c r="B432" s="1" t="s">
        <v>343</v>
      </c>
      <c r="C432" s="2">
        <v>10.7</v>
      </c>
      <c r="D432" s="2">
        <v>2.5</v>
      </c>
      <c r="E432" s="2">
        <v>7.1000000000000005</v>
      </c>
      <c r="F432" s="2">
        <v>8.6000000000000014</v>
      </c>
      <c r="G432" s="2">
        <v>9.5</v>
      </c>
      <c r="H432" s="2">
        <v>14.5</v>
      </c>
      <c r="I432" s="2">
        <v>6.5</v>
      </c>
      <c r="J432" s="2">
        <v>1.4</v>
      </c>
      <c r="K432" s="2">
        <v>13.8</v>
      </c>
      <c r="L432" s="2">
        <v>0</v>
      </c>
      <c r="M432" s="2">
        <v>2.9000000000000004</v>
      </c>
      <c r="N432" s="2">
        <v>3</v>
      </c>
      <c r="O432" s="2">
        <v>3.1</v>
      </c>
      <c r="P432" s="2">
        <v>0</v>
      </c>
      <c r="Q432" s="2">
        <v>2.7</v>
      </c>
      <c r="R432" s="2">
        <v>2.9000000000000004</v>
      </c>
      <c r="S432" s="2">
        <v>3.5</v>
      </c>
      <c r="T432" s="2">
        <v>3.8000000000000003</v>
      </c>
      <c r="U432" s="1">
        <f>COUNTIF(C432:T432,"&gt;"&amp;VLOOKUP(B432,MetaTable,3,FALSE))</f>
        <v>3</v>
      </c>
      <c r="V432">
        <v>96.5</v>
      </c>
      <c r="W432">
        <f t="shared" si="6"/>
        <v>6.03125</v>
      </c>
    </row>
    <row r="433" spans="1:23" x14ac:dyDescent="0.45">
      <c r="A433" s="1" t="s">
        <v>439</v>
      </c>
      <c r="B433" s="1" t="s">
        <v>343</v>
      </c>
      <c r="C433" s="2">
        <v>2.5</v>
      </c>
      <c r="D433" s="2">
        <v>2.9000000000000004</v>
      </c>
      <c r="E433" s="2">
        <v>0</v>
      </c>
      <c r="F433" s="2">
        <v>5.0999999999999996</v>
      </c>
      <c r="G433" s="2">
        <v>0</v>
      </c>
      <c r="H433" s="2">
        <v>4.8000000000000007</v>
      </c>
      <c r="I433" s="2">
        <v>8.3000000000000007</v>
      </c>
      <c r="J433" s="2">
        <v>8.1999999999999993</v>
      </c>
      <c r="K433" s="2">
        <v>13.3</v>
      </c>
      <c r="L433" s="2">
        <v>4.0999999999999996</v>
      </c>
      <c r="M433" s="2">
        <v>3.3000000000000003</v>
      </c>
      <c r="N433" s="2">
        <v>5.3000000000000007</v>
      </c>
      <c r="O433" s="2">
        <v>3.6</v>
      </c>
      <c r="P433" s="2">
        <v>10.8</v>
      </c>
      <c r="Q433" s="2">
        <v>2</v>
      </c>
      <c r="R433" s="2">
        <v>7.6000000000000005</v>
      </c>
      <c r="S433" s="2">
        <v>6.1000000000000005</v>
      </c>
      <c r="T433" s="2">
        <v>0</v>
      </c>
      <c r="U433" s="1">
        <f>COUNTIF(C433:T433,"&gt;"&amp;VLOOKUP(B433,MetaTable,3,FALSE))</f>
        <v>2</v>
      </c>
      <c r="V433">
        <v>87.9</v>
      </c>
      <c r="W433">
        <f t="shared" si="6"/>
        <v>5.86</v>
      </c>
    </row>
    <row r="434" spans="1:23" x14ac:dyDescent="0.45">
      <c r="A434" s="1" t="s">
        <v>440</v>
      </c>
      <c r="B434" s="1" t="s">
        <v>343</v>
      </c>
      <c r="C434" s="2">
        <v>7.9</v>
      </c>
      <c r="D434" s="2">
        <v>0</v>
      </c>
      <c r="E434" s="2">
        <v>0</v>
      </c>
      <c r="F434" s="2">
        <v>0</v>
      </c>
      <c r="G434" s="2">
        <v>0</v>
      </c>
      <c r="H434" s="2">
        <v>9.8000000000000007</v>
      </c>
      <c r="I434" s="2">
        <v>2.5</v>
      </c>
      <c r="J434" s="2">
        <v>4.3000000000000007</v>
      </c>
      <c r="K434" s="2">
        <v>2.1</v>
      </c>
      <c r="L434" s="2">
        <v>11.9</v>
      </c>
      <c r="M434" s="2">
        <v>8.6000000000000014</v>
      </c>
      <c r="N434" s="2">
        <v>11</v>
      </c>
      <c r="O434" s="2">
        <v>2.1</v>
      </c>
      <c r="P434" s="2">
        <v>0</v>
      </c>
      <c r="Q434" s="2">
        <v>0</v>
      </c>
      <c r="R434" s="2">
        <v>9.1</v>
      </c>
      <c r="S434" s="2">
        <v>3.7</v>
      </c>
      <c r="T434" s="2">
        <v>13</v>
      </c>
      <c r="U434" s="1">
        <f>COUNTIF(C434:T434,"&gt;"&amp;VLOOKUP(B434,MetaTable,3,FALSE))</f>
        <v>3</v>
      </c>
      <c r="V434">
        <v>86</v>
      </c>
      <c r="W434">
        <f t="shared" si="6"/>
        <v>7.166666666666667</v>
      </c>
    </row>
    <row r="435" spans="1:23" x14ac:dyDescent="0.45">
      <c r="A435" s="1" t="s">
        <v>441</v>
      </c>
      <c r="B435" s="1" t="s">
        <v>343</v>
      </c>
      <c r="C435" s="2">
        <v>9.5</v>
      </c>
      <c r="D435" s="2">
        <v>0</v>
      </c>
      <c r="E435" s="2">
        <v>2.1</v>
      </c>
      <c r="F435" s="2">
        <v>1</v>
      </c>
      <c r="G435" s="2">
        <v>3.7</v>
      </c>
      <c r="H435" s="2">
        <v>7.3</v>
      </c>
      <c r="I435" s="2">
        <v>0</v>
      </c>
      <c r="J435" s="2">
        <v>0</v>
      </c>
      <c r="K435" s="2">
        <v>11.5</v>
      </c>
      <c r="L435" s="2">
        <v>10.6</v>
      </c>
      <c r="M435" s="2">
        <v>3.7</v>
      </c>
      <c r="N435" s="2">
        <v>0</v>
      </c>
      <c r="O435" s="2">
        <v>7.2</v>
      </c>
      <c r="P435" s="2">
        <v>13.7</v>
      </c>
      <c r="Q435" s="2">
        <v>1.2000000000000002</v>
      </c>
      <c r="R435" s="2">
        <v>3.5</v>
      </c>
      <c r="S435" s="2">
        <v>4.3000000000000007</v>
      </c>
      <c r="T435" s="2">
        <v>4</v>
      </c>
      <c r="U435" s="1">
        <f>COUNTIF(C435:T435,"&gt;"&amp;VLOOKUP(B435,MetaTable,3,FALSE))</f>
        <v>3</v>
      </c>
      <c r="V435">
        <v>83.3</v>
      </c>
      <c r="W435">
        <f t="shared" si="6"/>
        <v>6.4076923076923071</v>
      </c>
    </row>
    <row r="436" spans="1:23" x14ac:dyDescent="0.45">
      <c r="A436" s="1" t="s">
        <v>442</v>
      </c>
      <c r="B436" s="1" t="s">
        <v>343</v>
      </c>
      <c r="C436" s="2">
        <v>0</v>
      </c>
      <c r="D436" s="2">
        <v>6.3000000000000007</v>
      </c>
      <c r="E436" s="2">
        <v>11.3</v>
      </c>
      <c r="F436" s="2">
        <v>10.200000000000001</v>
      </c>
      <c r="G436" s="2">
        <v>9.5</v>
      </c>
      <c r="H436" s="2">
        <v>0</v>
      </c>
      <c r="I436" s="2">
        <v>8.1000000000000014</v>
      </c>
      <c r="J436" s="2">
        <v>2.2999999999999998</v>
      </c>
      <c r="K436" s="2">
        <v>2.1</v>
      </c>
      <c r="L436" s="2">
        <v>1.1000000000000001</v>
      </c>
      <c r="M436" s="2">
        <v>2.6</v>
      </c>
      <c r="N436" s="2">
        <v>4.5</v>
      </c>
      <c r="O436" s="2">
        <v>4.9000000000000004</v>
      </c>
      <c r="P436" s="2">
        <v>6</v>
      </c>
      <c r="Q436" s="2">
        <v>1.1000000000000001</v>
      </c>
      <c r="R436" s="2">
        <v>1.7000000000000002</v>
      </c>
      <c r="S436" s="2">
        <v>0</v>
      </c>
      <c r="T436" s="2">
        <v>6.2</v>
      </c>
      <c r="U436" s="1">
        <f>COUNTIF(C436:T436,"&gt;"&amp;VLOOKUP(B436,MetaTable,3,FALSE))</f>
        <v>2</v>
      </c>
      <c r="V436">
        <v>77.900000000000006</v>
      </c>
      <c r="W436">
        <f t="shared" si="6"/>
        <v>5.1933333333333334</v>
      </c>
    </row>
    <row r="437" spans="1:23" x14ac:dyDescent="0.45">
      <c r="A437" s="1" t="s">
        <v>443</v>
      </c>
      <c r="B437" s="1" t="s">
        <v>343</v>
      </c>
      <c r="C437" s="2">
        <v>0</v>
      </c>
      <c r="D437" s="2">
        <v>7.1000000000000005</v>
      </c>
      <c r="E437" s="2">
        <v>4.4000000000000004</v>
      </c>
      <c r="F437" s="2">
        <v>4.0999999999999996</v>
      </c>
      <c r="G437" s="2">
        <v>0</v>
      </c>
      <c r="H437" s="2">
        <v>7.8000000000000007</v>
      </c>
      <c r="I437" s="2">
        <v>2.1</v>
      </c>
      <c r="J437" s="2">
        <v>14.8</v>
      </c>
      <c r="K437" s="2">
        <v>8.5</v>
      </c>
      <c r="L437" s="2">
        <v>4.8000000000000007</v>
      </c>
      <c r="M437" s="2">
        <v>0.9</v>
      </c>
      <c r="N437" s="2">
        <v>10.100000000000001</v>
      </c>
      <c r="O437" s="2">
        <v>4.2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1">
        <f>COUNTIF(C437:T437,"&gt;"&amp;VLOOKUP(B437,MetaTable,3,FALSE))</f>
        <v>2</v>
      </c>
      <c r="V437">
        <v>68.8</v>
      </c>
      <c r="W437">
        <f t="shared" si="6"/>
        <v>6.88</v>
      </c>
    </row>
    <row r="438" spans="1:23" x14ac:dyDescent="0.45">
      <c r="A438" s="1" t="s">
        <v>444</v>
      </c>
      <c r="B438" s="1" t="s">
        <v>343</v>
      </c>
      <c r="C438" s="2">
        <v>0</v>
      </c>
      <c r="D438" s="2">
        <v>0</v>
      </c>
      <c r="E438" s="2">
        <v>0</v>
      </c>
      <c r="F438" s="2">
        <v>6.6000000000000005</v>
      </c>
      <c r="G438" s="2">
        <v>6.9</v>
      </c>
      <c r="H438" s="2">
        <v>6.9</v>
      </c>
      <c r="I438" s="2">
        <v>4</v>
      </c>
      <c r="J438" s="2">
        <v>3.3</v>
      </c>
      <c r="K438" s="2">
        <v>8.9</v>
      </c>
      <c r="L438" s="2">
        <v>1.5</v>
      </c>
      <c r="M438" s="2">
        <v>0</v>
      </c>
      <c r="N438" s="2">
        <v>4.0999999999999996</v>
      </c>
      <c r="O438" s="2">
        <v>6.2</v>
      </c>
      <c r="P438" s="2">
        <v>8.3000000000000007</v>
      </c>
      <c r="Q438" s="2">
        <v>2.1</v>
      </c>
      <c r="R438" s="2">
        <v>3.9000000000000004</v>
      </c>
      <c r="S438" s="2">
        <v>0</v>
      </c>
      <c r="T438" s="2">
        <v>1.6</v>
      </c>
      <c r="U438" s="1">
        <f>COUNTIF(C438:T438,"&gt;"&amp;VLOOKUP(B438,MetaTable,3,FALSE))</f>
        <v>0</v>
      </c>
      <c r="V438">
        <v>64.3</v>
      </c>
      <c r="W438">
        <f t="shared" si="6"/>
        <v>4.9461538461538463</v>
      </c>
    </row>
    <row r="439" spans="1:23" x14ac:dyDescent="0.45">
      <c r="A439" s="1" t="s">
        <v>445</v>
      </c>
      <c r="B439" s="1" t="s">
        <v>343</v>
      </c>
      <c r="C439" s="2">
        <v>3.3</v>
      </c>
      <c r="D439" s="2">
        <v>3.6</v>
      </c>
      <c r="E439" s="2">
        <v>4.8000000000000007</v>
      </c>
      <c r="F439" s="2">
        <v>4.0999999999999996</v>
      </c>
      <c r="G439" s="2">
        <v>0</v>
      </c>
      <c r="H439" s="2">
        <v>3.4000000000000004</v>
      </c>
      <c r="I439" s="2">
        <v>6.8</v>
      </c>
      <c r="J439" s="2">
        <v>2.9000000000000004</v>
      </c>
      <c r="K439" s="2">
        <v>0.30000000000000004</v>
      </c>
      <c r="L439" s="2">
        <v>0</v>
      </c>
      <c r="M439" s="2">
        <v>4.4000000000000004</v>
      </c>
      <c r="N439" s="2">
        <v>8.5</v>
      </c>
      <c r="O439" s="2">
        <v>5.2</v>
      </c>
      <c r="P439" s="2">
        <v>1.2000000000000002</v>
      </c>
      <c r="Q439" s="2">
        <v>4.9000000000000004</v>
      </c>
      <c r="R439" s="2">
        <v>3</v>
      </c>
      <c r="S439" s="2">
        <v>2.4000000000000004</v>
      </c>
      <c r="T439" s="2">
        <v>0</v>
      </c>
      <c r="U439" s="1">
        <f>COUNTIF(C439:T439,"&gt;"&amp;VLOOKUP(B439,MetaTable,3,FALSE))</f>
        <v>0</v>
      </c>
      <c r="V439">
        <v>58.8</v>
      </c>
      <c r="W439">
        <f t="shared" si="6"/>
        <v>4.2</v>
      </c>
    </row>
    <row r="440" spans="1:23" x14ac:dyDescent="0.45">
      <c r="A440" s="1" t="s">
        <v>446</v>
      </c>
      <c r="B440" s="1" t="s">
        <v>343</v>
      </c>
      <c r="C440" s="2">
        <v>0</v>
      </c>
      <c r="D440" s="2">
        <v>0</v>
      </c>
      <c r="E440" s="2">
        <v>2.1</v>
      </c>
      <c r="F440" s="2">
        <v>0.8</v>
      </c>
      <c r="G440" s="2">
        <v>2.5</v>
      </c>
      <c r="H440" s="2">
        <v>10.6</v>
      </c>
      <c r="I440" s="2">
        <v>7.5</v>
      </c>
      <c r="J440" s="2">
        <v>1.4000000000000001</v>
      </c>
      <c r="K440" s="2">
        <v>2.4000000000000004</v>
      </c>
      <c r="L440" s="2">
        <v>1.4</v>
      </c>
      <c r="M440" s="2">
        <v>8.5</v>
      </c>
      <c r="N440" s="2">
        <v>4.0999999999999996</v>
      </c>
      <c r="O440" s="2">
        <v>3.8000000000000003</v>
      </c>
      <c r="P440" s="2">
        <v>0</v>
      </c>
      <c r="Q440" s="2">
        <v>1.9</v>
      </c>
      <c r="R440" s="2">
        <v>3.5</v>
      </c>
      <c r="S440" s="2">
        <v>0.4</v>
      </c>
      <c r="T440" s="2">
        <v>2.2000000000000002</v>
      </c>
      <c r="U440" s="1">
        <f>COUNTIF(C440:T440,"&gt;"&amp;VLOOKUP(B440,MetaTable,3,FALSE))</f>
        <v>1</v>
      </c>
      <c r="V440">
        <v>53.1</v>
      </c>
      <c r="W440">
        <f t="shared" si="6"/>
        <v>4.0846153846153843</v>
      </c>
    </row>
    <row r="441" spans="1:23" x14ac:dyDescent="0.45">
      <c r="A441" s="1" t="s">
        <v>447</v>
      </c>
      <c r="B441" s="1" t="s">
        <v>343</v>
      </c>
      <c r="C441" s="2">
        <v>0</v>
      </c>
      <c r="D441" s="2">
        <v>2.7</v>
      </c>
      <c r="E441" s="2">
        <v>2.6</v>
      </c>
      <c r="F441" s="2">
        <v>0.9</v>
      </c>
      <c r="G441" s="2">
        <v>12.7</v>
      </c>
      <c r="H441" s="2">
        <v>1.6</v>
      </c>
      <c r="I441" s="2">
        <v>2.8000000000000003</v>
      </c>
      <c r="J441" s="2">
        <v>1.1000000000000001</v>
      </c>
      <c r="K441" s="2">
        <v>2.9000000000000004</v>
      </c>
      <c r="L441" s="2">
        <v>-0.30000000000000004</v>
      </c>
      <c r="M441" s="2">
        <v>0.9</v>
      </c>
      <c r="N441" s="2">
        <v>4.6000000000000005</v>
      </c>
      <c r="O441" s="2">
        <v>5.9</v>
      </c>
      <c r="P441" s="2">
        <v>0</v>
      </c>
      <c r="Q441" s="2">
        <v>4.5</v>
      </c>
      <c r="R441" s="2">
        <v>5.6000000000000005</v>
      </c>
      <c r="S441" s="2">
        <v>0</v>
      </c>
      <c r="T441" s="2">
        <v>3.9</v>
      </c>
      <c r="U441" s="1">
        <f>COUNTIF(C441:T441,"&gt;"&amp;VLOOKUP(B441,MetaTable,3,FALSE))</f>
        <v>1</v>
      </c>
      <c r="V441">
        <v>52.4</v>
      </c>
      <c r="W441">
        <f t="shared" si="6"/>
        <v>4.3666666666666663</v>
      </c>
    </row>
    <row r="442" spans="1:23" x14ac:dyDescent="0.45">
      <c r="A442" s="1" t="s">
        <v>448</v>
      </c>
      <c r="B442" s="1" t="s">
        <v>343</v>
      </c>
      <c r="C442" s="2">
        <v>3</v>
      </c>
      <c r="D442" s="2">
        <v>3.2</v>
      </c>
      <c r="E442" s="2">
        <v>1.8</v>
      </c>
      <c r="F442" s="2">
        <v>3.7</v>
      </c>
      <c r="G442" s="2">
        <v>0</v>
      </c>
      <c r="H442" s="2">
        <v>0</v>
      </c>
      <c r="I442" s="2">
        <v>1.3</v>
      </c>
      <c r="J442" s="2">
        <v>4.8000000000000007</v>
      </c>
      <c r="K442" s="2">
        <v>5.8</v>
      </c>
      <c r="L442" s="2">
        <v>1.6</v>
      </c>
      <c r="M442" s="2">
        <v>3.6</v>
      </c>
      <c r="N442" s="2">
        <v>2</v>
      </c>
      <c r="O442" s="2">
        <v>7.1</v>
      </c>
      <c r="P442" s="2">
        <v>0</v>
      </c>
      <c r="Q442" s="2">
        <v>0</v>
      </c>
      <c r="R442" s="2">
        <v>0</v>
      </c>
      <c r="S442" s="2">
        <v>13</v>
      </c>
      <c r="T442" s="2">
        <v>1</v>
      </c>
      <c r="U442" s="1">
        <f>COUNTIF(C442:T442,"&gt;"&amp;VLOOKUP(B442,MetaTable,3,FALSE))</f>
        <v>1</v>
      </c>
      <c r="V442">
        <v>51.9</v>
      </c>
      <c r="W442">
        <f t="shared" si="6"/>
        <v>4.3250000000000002</v>
      </c>
    </row>
    <row r="443" spans="1:23" x14ac:dyDescent="0.45">
      <c r="A443" s="1" t="s">
        <v>449</v>
      </c>
      <c r="B443" s="1" t="s">
        <v>343</v>
      </c>
      <c r="C443" s="2">
        <v>0.6</v>
      </c>
      <c r="D443" s="2">
        <v>2.4000000000000004</v>
      </c>
      <c r="E443" s="2">
        <v>0</v>
      </c>
      <c r="F443" s="2">
        <v>3.1</v>
      </c>
      <c r="G443" s="2">
        <v>4.0999999999999996</v>
      </c>
      <c r="H443" s="2">
        <v>0</v>
      </c>
      <c r="I443" s="2">
        <v>8.5</v>
      </c>
      <c r="J443" s="2">
        <v>8.1999999999999993</v>
      </c>
      <c r="K443" s="2">
        <v>0</v>
      </c>
      <c r="L443" s="2">
        <v>0</v>
      </c>
      <c r="M443" s="2">
        <v>0</v>
      </c>
      <c r="N443" s="2">
        <v>4.9000000000000004</v>
      </c>
      <c r="O443" s="2">
        <v>4.8</v>
      </c>
      <c r="P443" s="2">
        <v>7.5</v>
      </c>
      <c r="Q443" s="2">
        <v>0.5</v>
      </c>
      <c r="R443" s="2">
        <v>3.7</v>
      </c>
      <c r="S443" s="2">
        <v>0</v>
      </c>
      <c r="T443" s="2">
        <v>3.3</v>
      </c>
      <c r="U443" s="1">
        <f>COUNTIF(C443:T443,"&gt;"&amp;VLOOKUP(B443,MetaTable,3,FALSE))</f>
        <v>0</v>
      </c>
      <c r="V443">
        <v>51.6</v>
      </c>
      <c r="W443">
        <f t="shared" si="6"/>
        <v>5.16</v>
      </c>
    </row>
    <row r="444" spans="1:23" x14ac:dyDescent="0.45">
      <c r="A444" s="1" t="s">
        <v>450</v>
      </c>
      <c r="B444" s="1" t="s">
        <v>343</v>
      </c>
      <c r="C444" s="2">
        <v>0</v>
      </c>
      <c r="D444" s="2">
        <v>7</v>
      </c>
      <c r="E444" s="2">
        <v>6.7</v>
      </c>
      <c r="F444" s="2">
        <v>0</v>
      </c>
      <c r="G444" s="2">
        <v>5.8000000000000007</v>
      </c>
      <c r="H444" s="2">
        <v>1.3</v>
      </c>
      <c r="I444" s="2">
        <v>2.2000000000000002</v>
      </c>
      <c r="J444" s="2">
        <v>2.2000000000000002</v>
      </c>
      <c r="K444" s="2">
        <v>2.1</v>
      </c>
      <c r="L444" s="2">
        <v>3.3000000000000003</v>
      </c>
      <c r="M444" s="2">
        <v>13.2</v>
      </c>
      <c r="N444" s="2">
        <v>1.4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3.6</v>
      </c>
      <c r="U444" s="1">
        <f>COUNTIF(C444:T444,"&gt;"&amp;VLOOKUP(B444,MetaTable,3,FALSE))</f>
        <v>1</v>
      </c>
      <c r="V444">
        <v>48.8</v>
      </c>
      <c r="W444">
        <f t="shared" si="6"/>
        <v>4.4363636363636365</v>
      </c>
    </row>
    <row r="445" spans="1:23" x14ac:dyDescent="0.45">
      <c r="A445" s="1" t="s">
        <v>451</v>
      </c>
      <c r="B445" s="1" t="s">
        <v>343</v>
      </c>
      <c r="C445" s="2">
        <v>2.5</v>
      </c>
      <c r="D445" s="2">
        <v>0.8</v>
      </c>
      <c r="E445" s="2">
        <v>3.7</v>
      </c>
      <c r="F445" s="2">
        <v>2.5</v>
      </c>
      <c r="G445" s="2">
        <v>0.4</v>
      </c>
      <c r="H445" s="2">
        <v>5.9</v>
      </c>
      <c r="I445" s="2">
        <v>0</v>
      </c>
      <c r="J445" s="2">
        <v>0</v>
      </c>
      <c r="K445" s="2">
        <v>0</v>
      </c>
      <c r="L445" s="2">
        <v>5.5</v>
      </c>
      <c r="M445" s="2">
        <v>14.3</v>
      </c>
      <c r="N445" s="2">
        <v>0</v>
      </c>
      <c r="O445" s="2">
        <v>0.70000000000000007</v>
      </c>
      <c r="P445" s="2">
        <v>2.6</v>
      </c>
      <c r="Q445" s="2">
        <v>0.6</v>
      </c>
      <c r="R445" s="2">
        <v>0</v>
      </c>
      <c r="S445" s="2">
        <v>0</v>
      </c>
      <c r="T445" s="2">
        <v>8.6999999999999993</v>
      </c>
      <c r="U445" s="1">
        <f>COUNTIF(C445:T445,"&gt;"&amp;VLOOKUP(B445,MetaTable,3,FALSE))</f>
        <v>1</v>
      </c>
      <c r="V445">
        <v>48.2</v>
      </c>
      <c r="W445">
        <f t="shared" si="6"/>
        <v>6.0250000000000004</v>
      </c>
    </row>
    <row r="446" spans="1:23" x14ac:dyDescent="0.45">
      <c r="A446" s="1" t="s">
        <v>452</v>
      </c>
      <c r="B446" s="1" t="s">
        <v>343</v>
      </c>
      <c r="C446" s="2">
        <v>10.4</v>
      </c>
      <c r="D446" s="2">
        <v>3</v>
      </c>
      <c r="E446" s="2">
        <v>3.5</v>
      </c>
      <c r="F446" s="2">
        <v>0</v>
      </c>
      <c r="G446" s="2">
        <v>0</v>
      </c>
      <c r="H446" s="2">
        <v>0</v>
      </c>
      <c r="I446" s="2">
        <v>7.7</v>
      </c>
      <c r="J446" s="2">
        <v>1.1000000000000001</v>
      </c>
      <c r="K446" s="2">
        <v>5.3000000000000007</v>
      </c>
      <c r="L446" s="2">
        <v>4</v>
      </c>
      <c r="M446" s="2">
        <v>0</v>
      </c>
      <c r="N446" s="2">
        <v>1.6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11.5</v>
      </c>
      <c r="U446" s="1">
        <f>COUNTIF(C446:T446,"&gt;"&amp;VLOOKUP(B446,MetaTable,3,FALSE))</f>
        <v>2</v>
      </c>
      <c r="V446">
        <v>48.1</v>
      </c>
      <c r="W446">
        <f t="shared" si="6"/>
        <v>5.344444444444445</v>
      </c>
    </row>
    <row r="447" spans="1:23" x14ac:dyDescent="0.45">
      <c r="A447" s="1" t="s">
        <v>453</v>
      </c>
      <c r="B447" s="1" t="s">
        <v>343</v>
      </c>
      <c r="C447" s="2">
        <v>0</v>
      </c>
      <c r="D447" s="2">
        <v>2.4000000000000004</v>
      </c>
      <c r="E447" s="2">
        <v>4.9000000000000004</v>
      </c>
      <c r="F447" s="2">
        <v>8.6999999999999993</v>
      </c>
      <c r="G447" s="2">
        <v>3.5</v>
      </c>
      <c r="H447" s="2">
        <v>0</v>
      </c>
      <c r="I447" s="2">
        <v>2</v>
      </c>
      <c r="J447" s="2">
        <v>0</v>
      </c>
      <c r="K447" s="2">
        <v>1.1000000000000001</v>
      </c>
      <c r="L447" s="2">
        <v>9.6999999999999993</v>
      </c>
      <c r="M447" s="2">
        <v>0</v>
      </c>
      <c r="N447" s="2">
        <v>0</v>
      </c>
      <c r="O447" s="2">
        <v>0</v>
      </c>
      <c r="P447" s="2">
        <v>5.0999999999999996</v>
      </c>
      <c r="Q447" s="2">
        <v>2</v>
      </c>
      <c r="R447" s="2">
        <v>3.9000000000000004</v>
      </c>
      <c r="S447" s="2">
        <v>0</v>
      </c>
      <c r="T447" s="2">
        <v>3</v>
      </c>
      <c r="U447" s="1">
        <f>COUNTIF(C447:T447,"&gt;"&amp;VLOOKUP(B447,MetaTable,3,FALSE))</f>
        <v>0</v>
      </c>
      <c r="V447">
        <v>46.3</v>
      </c>
      <c r="W447">
        <f t="shared" si="6"/>
        <v>4.209090909090909</v>
      </c>
    </row>
    <row r="448" spans="1:23" x14ac:dyDescent="0.45">
      <c r="A448" s="1" t="s">
        <v>454</v>
      </c>
      <c r="B448" s="1" t="s">
        <v>343</v>
      </c>
      <c r="C448" s="2">
        <v>0.7</v>
      </c>
      <c r="D448" s="2">
        <v>3.5</v>
      </c>
      <c r="E448" s="2">
        <v>0</v>
      </c>
      <c r="F448" s="2">
        <v>1</v>
      </c>
      <c r="G448" s="2">
        <v>7.16</v>
      </c>
      <c r="H448" s="2">
        <v>1.9</v>
      </c>
      <c r="I448" s="2">
        <v>4</v>
      </c>
      <c r="J448" s="2">
        <v>1.4</v>
      </c>
      <c r="K448" s="2">
        <v>2.7</v>
      </c>
      <c r="L448" s="2">
        <v>10.100000000000001</v>
      </c>
      <c r="M448" s="2">
        <v>4</v>
      </c>
      <c r="N448" s="2">
        <v>1.5</v>
      </c>
      <c r="O448" s="2">
        <v>0</v>
      </c>
      <c r="P448" s="2">
        <v>0</v>
      </c>
      <c r="Q448" s="2">
        <v>-3</v>
      </c>
      <c r="R448" s="2">
        <v>4.0999999999999996</v>
      </c>
      <c r="S448" s="2">
        <v>3.2</v>
      </c>
      <c r="T448" s="2">
        <v>0</v>
      </c>
      <c r="U448" s="1">
        <f>COUNTIF(C448:T448,"&gt;"&amp;VLOOKUP(B448,MetaTable,3,FALSE))</f>
        <v>1</v>
      </c>
      <c r="V448">
        <v>42.26</v>
      </c>
      <c r="W448">
        <f t="shared" si="6"/>
        <v>3.8418181818181818</v>
      </c>
    </row>
    <row r="449" spans="1:23" x14ac:dyDescent="0.45">
      <c r="A449" s="1" t="s">
        <v>455</v>
      </c>
      <c r="B449" s="1" t="s">
        <v>343</v>
      </c>
      <c r="C449" s="2">
        <v>1.1000000000000001</v>
      </c>
      <c r="D449" s="2">
        <v>1.8</v>
      </c>
      <c r="E449" s="2">
        <v>6.1000000000000005</v>
      </c>
      <c r="F449" s="2">
        <v>2</v>
      </c>
      <c r="G449" s="2">
        <v>0.9</v>
      </c>
      <c r="H449" s="2">
        <v>3</v>
      </c>
      <c r="I449" s="2">
        <v>2.5</v>
      </c>
      <c r="J449" s="2">
        <v>11.1</v>
      </c>
      <c r="K449" s="2">
        <v>3.4000000000000004</v>
      </c>
      <c r="L449" s="2">
        <v>7.1</v>
      </c>
      <c r="M449" s="2">
        <v>0</v>
      </c>
      <c r="N449" s="2">
        <v>0</v>
      </c>
      <c r="O449" s="2">
        <v>0</v>
      </c>
      <c r="P449" s="2">
        <v>0</v>
      </c>
      <c r="Q449" s="2">
        <v>3.1</v>
      </c>
      <c r="R449" s="2">
        <v>0</v>
      </c>
      <c r="S449" s="2">
        <v>0</v>
      </c>
      <c r="T449" s="2">
        <v>0</v>
      </c>
      <c r="U449" s="1">
        <f>COUNTIF(C449:T449,"&gt;"&amp;VLOOKUP(B449,MetaTable,3,FALSE))</f>
        <v>1</v>
      </c>
      <c r="V449">
        <v>42.1</v>
      </c>
      <c r="W449">
        <f t="shared" si="6"/>
        <v>4.21</v>
      </c>
    </row>
    <row r="450" spans="1:23" x14ac:dyDescent="0.45">
      <c r="A450" s="1" t="s">
        <v>456</v>
      </c>
      <c r="B450" s="1" t="s">
        <v>343</v>
      </c>
      <c r="C450" s="2">
        <v>1.2000000000000002</v>
      </c>
      <c r="D450" s="2">
        <v>4.2</v>
      </c>
      <c r="E450" s="2">
        <v>0</v>
      </c>
      <c r="F450" s="2">
        <v>1.4</v>
      </c>
      <c r="G450" s="2">
        <v>0</v>
      </c>
      <c r="H450" s="2">
        <v>9.3000000000000007</v>
      </c>
      <c r="I450" s="2">
        <v>11.4</v>
      </c>
      <c r="J450" s="2">
        <v>8.4</v>
      </c>
      <c r="K450" s="2">
        <v>0.5</v>
      </c>
      <c r="L450" s="2">
        <v>0</v>
      </c>
      <c r="M450" s="2">
        <v>4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1.6</v>
      </c>
      <c r="U450" s="1">
        <f>COUNTIF(C450:T450,"&gt;"&amp;VLOOKUP(B450,MetaTable,3,FALSE))</f>
        <v>1</v>
      </c>
      <c r="V450">
        <v>42</v>
      </c>
      <c r="W450">
        <f t="shared" si="6"/>
        <v>5.25</v>
      </c>
    </row>
    <row r="451" spans="1:23" x14ac:dyDescent="0.45">
      <c r="A451" s="1" t="s">
        <v>457</v>
      </c>
      <c r="B451" s="1" t="s">
        <v>343</v>
      </c>
      <c r="C451" s="2">
        <v>0</v>
      </c>
      <c r="D451" s="2">
        <v>0</v>
      </c>
      <c r="E451" s="2">
        <v>0</v>
      </c>
      <c r="F451" s="2">
        <v>1.3</v>
      </c>
      <c r="G451" s="2">
        <v>0</v>
      </c>
      <c r="H451" s="2">
        <v>0</v>
      </c>
      <c r="I451" s="2">
        <v>1.9</v>
      </c>
      <c r="J451" s="2">
        <v>0</v>
      </c>
      <c r="K451" s="2">
        <v>0.9</v>
      </c>
      <c r="L451" s="2">
        <v>10</v>
      </c>
      <c r="M451" s="2">
        <v>3.3000000000000003</v>
      </c>
      <c r="N451" s="2">
        <v>0.79999999999999993</v>
      </c>
      <c r="O451" s="2">
        <v>-0.19999999999999996</v>
      </c>
      <c r="P451" s="2">
        <v>0</v>
      </c>
      <c r="Q451" s="2">
        <v>7.7</v>
      </c>
      <c r="R451" s="2">
        <v>4.3000000000000007</v>
      </c>
      <c r="S451" s="2">
        <v>5</v>
      </c>
      <c r="T451" s="2">
        <v>6.8000000000000007</v>
      </c>
      <c r="U451" s="1">
        <f>COUNTIF(C451:T451,"&gt;"&amp;VLOOKUP(B451,MetaTable,3,FALSE))</f>
        <v>0</v>
      </c>
      <c r="V451">
        <v>41.8</v>
      </c>
      <c r="W451">
        <f t="shared" ref="W451:W514" si="7">V451/MAX(1,COUNTIF(C451:T451,"&gt;1"))</f>
        <v>5.2249999999999996</v>
      </c>
    </row>
    <row r="452" spans="1:23" x14ac:dyDescent="0.45">
      <c r="A452" s="1" t="s">
        <v>458</v>
      </c>
      <c r="B452" s="1" t="s">
        <v>343</v>
      </c>
      <c r="C452" s="2">
        <v>0</v>
      </c>
      <c r="D452" s="2">
        <v>3.2</v>
      </c>
      <c r="E452" s="2">
        <v>4.3000000000000007</v>
      </c>
      <c r="F452" s="2">
        <v>9.1999999999999993</v>
      </c>
      <c r="G452" s="2">
        <v>12.4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1.1000000000000001</v>
      </c>
      <c r="T452" s="2">
        <v>11.3</v>
      </c>
      <c r="U452" s="1">
        <f>COUNTIF(C452:T452,"&gt;"&amp;VLOOKUP(B452,MetaTable,3,FALSE))</f>
        <v>2</v>
      </c>
      <c r="V452">
        <v>41.5</v>
      </c>
      <c r="W452">
        <f t="shared" si="7"/>
        <v>6.916666666666667</v>
      </c>
    </row>
    <row r="453" spans="1:23" x14ac:dyDescent="0.45">
      <c r="A453" s="1" t="s">
        <v>459</v>
      </c>
      <c r="B453" s="1" t="s">
        <v>343</v>
      </c>
      <c r="C453" s="2">
        <v>-2</v>
      </c>
      <c r="D453" s="2">
        <v>0</v>
      </c>
      <c r="E453" s="2">
        <v>0.8</v>
      </c>
      <c r="F453" s="2">
        <v>0</v>
      </c>
      <c r="G453" s="2">
        <v>0</v>
      </c>
      <c r="H453" s="2">
        <v>3.8000000000000003</v>
      </c>
      <c r="I453" s="2">
        <v>14.7</v>
      </c>
      <c r="J453" s="2">
        <v>0</v>
      </c>
      <c r="K453" s="2">
        <v>4.4000000000000004</v>
      </c>
      <c r="L453" s="2">
        <v>0</v>
      </c>
      <c r="M453" s="2">
        <v>0</v>
      </c>
      <c r="N453" s="2">
        <v>0</v>
      </c>
      <c r="O453" s="2">
        <v>2.4000000000000004</v>
      </c>
      <c r="P453" s="2">
        <v>2.2999999999999998</v>
      </c>
      <c r="Q453" s="2">
        <v>4.84</v>
      </c>
      <c r="R453" s="2">
        <v>1.8</v>
      </c>
      <c r="S453" s="2">
        <v>3.2</v>
      </c>
      <c r="T453" s="2">
        <v>3.7</v>
      </c>
      <c r="U453" s="1">
        <f>COUNTIF(C453:T453,"&gt;"&amp;VLOOKUP(B453,MetaTable,3,FALSE))</f>
        <v>1</v>
      </c>
      <c r="V453">
        <v>39.94</v>
      </c>
      <c r="W453">
        <f t="shared" si="7"/>
        <v>4.4377777777777778</v>
      </c>
    </row>
    <row r="454" spans="1:23" x14ac:dyDescent="0.45">
      <c r="A454" s="1" t="s">
        <v>460</v>
      </c>
      <c r="B454" s="1" t="s">
        <v>343</v>
      </c>
      <c r="C454" s="2">
        <v>1.4</v>
      </c>
      <c r="D454" s="2">
        <v>0.2</v>
      </c>
      <c r="E454" s="2">
        <v>0</v>
      </c>
      <c r="F454" s="2">
        <v>7.8</v>
      </c>
      <c r="G454" s="2">
        <v>2.2000000000000002</v>
      </c>
      <c r="H454" s="2">
        <v>4.7</v>
      </c>
      <c r="I454" s="2">
        <v>2.7</v>
      </c>
      <c r="J454" s="2">
        <v>11.2</v>
      </c>
      <c r="K454" s="2">
        <v>0</v>
      </c>
      <c r="L454" s="2">
        <v>0</v>
      </c>
      <c r="M454" s="2">
        <v>4.4000000000000004</v>
      </c>
      <c r="N454" s="2">
        <v>1.5</v>
      </c>
      <c r="O454" s="2">
        <v>3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1">
        <f>COUNTIF(C454:T454,"&gt;"&amp;VLOOKUP(B454,MetaTable,3,FALSE))</f>
        <v>1</v>
      </c>
      <c r="V454">
        <v>39.1</v>
      </c>
      <c r="W454">
        <f t="shared" si="7"/>
        <v>4.344444444444445</v>
      </c>
    </row>
    <row r="455" spans="1:23" x14ac:dyDescent="0.45">
      <c r="A455" s="1" t="s">
        <v>461</v>
      </c>
      <c r="B455" s="1" t="s">
        <v>343</v>
      </c>
      <c r="C455" s="2">
        <v>0.9</v>
      </c>
      <c r="D455" s="2">
        <v>0</v>
      </c>
      <c r="E455" s="2">
        <v>0.8</v>
      </c>
      <c r="F455" s="2">
        <v>0</v>
      </c>
      <c r="G455" s="2">
        <v>0</v>
      </c>
      <c r="H455" s="2">
        <v>2.7</v>
      </c>
      <c r="I455" s="2">
        <v>0</v>
      </c>
      <c r="J455" s="2">
        <v>0</v>
      </c>
      <c r="K455" s="2">
        <v>0</v>
      </c>
      <c r="L455" s="2">
        <v>2.8000000000000003</v>
      </c>
      <c r="M455" s="2">
        <v>2.5</v>
      </c>
      <c r="N455" s="2">
        <v>1.4</v>
      </c>
      <c r="O455" s="2">
        <v>1.1000000000000001</v>
      </c>
      <c r="P455" s="2">
        <v>1.1000000000000001</v>
      </c>
      <c r="Q455" s="2">
        <v>0</v>
      </c>
      <c r="R455" s="2">
        <v>9.8000000000000007</v>
      </c>
      <c r="S455" s="2">
        <v>9.6000000000000014</v>
      </c>
      <c r="T455" s="2">
        <v>0.9</v>
      </c>
      <c r="U455" s="1">
        <f>COUNTIF(C455:T455,"&gt;"&amp;VLOOKUP(B455,MetaTable,3,FALSE))</f>
        <v>0</v>
      </c>
      <c r="V455">
        <v>33.6</v>
      </c>
      <c r="W455">
        <f t="shared" si="7"/>
        <v>4.2</v>
      </c>
    </row>
    <row r="456" spans="1:23" x14ac:dyDescent="0.45">
      <c r="A456" s="1" t="s">
        <v>462</v>
      </c>
      <c r="B456" s="1" t="s">
        <v>343</v>
      </c>
      <c r="C456" s="2">
        <v>0</v>
      </c>
      <c r="D456" s="2">
        <v>1.1000000000000001</v>
      </c>
      <c r="E456" s="2">
        <v>1.8</v>
      </c>
      <c r="F456" s="2">
        <v>2.1</v>
      </c>
      <c r="G456" s="2">
        <v>0</v>
      </c>
      <c r="H456" s="2">
        <v>2.8</v>
      </c>
      <c r="I456" s="2">
        <v>0</v>
      </c>
      <c r="J456" s="2">
        <v>0</v>
      </c>
      <c r="K456" s="2">
        <v>4.0999999999999996</v>
      </c>
      <c r="L456" s="2">
        <v>3.2</v>
      </c>
      <c r="M456" s="2">
        <v>1.3</v>
      </c>
      <c r="N456" s="2">
        <v>0.9</v>
      </c>
      <c r="O456" s="2">
        <v>1.2000000000000002</v>
      </c>
      <c r="P456" s="2">
        <v>1</v>
      </c>
      <c r="Q456" s="2">
        <v>0</v>
      </c>
      <c r="R456" s="2">
        <v>0</v>
      </c>
      <c r="S456" s="2">
        <v>0</v>
      </c>
      <c r="T456" s="2">
        <v>12.9</v>
      </c>
      <c r="U456" s="1">
        <f>COUNTIF(C456:T456,"&gt;"&amp;VLOOKUP(B456,MetaTable,3,FALSE))</f>
        <v>1</v>
      </c>
      <c r="V456">
        <v>32.4</v>
      </c>
      <c r="W456">
        <f t="shared" si="7"/>
        <v>3.5999999999999996</v>
      </c>
    </row>
    <row r="457" spans="1:23" x14ac:dyDescent="0.45">
      <c r="A457" s="1" t="s">
        <v>463</v>
      </c>
      <c r="B457" s="1" t="s">
        <v>343</v>
      </c>
      <c r="C457" s="2">
        <v>7</v>
      </c>
      <c r="D457" s="2">
        <v>11.3</v>
      </c>
      <c r="E457" s="2">
        <v>4.5999999999999996</v>
      </c>
      <c r="F457" s="2">
        <v>0</v>
      </c>
      <c r="G457" s="2">
        <v>7.4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1.6</v>
      </c>
      <c r="U457" s="1">
        <f>COUNTIF(C457:T457,"&gt;"&amp;VLOOKUP(B457,MetaTable,3,FALSE))</f>
        <v>1</v>
      </c>
      <c r="V457">
        <v>31.9</v>
      </c>
      <c r="W457">
        <f t="shared" si="7"/>
        <v>6.38</v>
      </c>
    </row>
    <row r="458" spans="1:23" x14ac:dyDescent="0.45">
      <c r="A458" s="1" t="s">
        <v>464</v>
      </c>
      <c r="B458" s="1" t="s">
        <v>343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4.4000000000000004</v>
      </c>
      <c r="I458" s="2">
        <v>0</v>
      </c>
      <c r="J458" s="2">
        <v>3.4000000000000004</v>
      </c>
      <c r="K458" s="2">
        <v>6.6</v>
      </c>
      <c r="L458" s="2">
        <v>1.6</v>
      </c>
      <c r="M458" s="2">
        <v>0</v>
      </c>
      <c r="N458" s="2">
        <v>1.9000000000000001</v>
      </c>
      <c r="O458" s="2">
        <v>0</v>
      </c>
      <c r="P458" s="2">
        <v>0</v>
      </c>
      <c r="Q458" s="2">
        <v>0.6</v>
      </c>
      <c r="R458" s="2">
        <v>8.6999999999999993</v>
      </c>
      <c r="S458" s="2">
        <v>3.6</v>
      </c>
      <c r="T458" s="2">
        <v>0</v>
      </c>
      <c r="U458" s="1">
        <f>COUNTIF(C458:T458,"&gt;"&amp;VLOOKUP(B458,MetaTable,3,FALSE))</f>
        <v>0</v>
      </c>
      <c r="V458">
        <v>30.8</v>
      </c>
      <c r="W458">
        <f t="shared" si="7"/>
        <v>4.4000000000000004</v>
      </c>
    </row>
    <row r="459" spans="1:23" x14ac:dyDescent="0.45">
      <c r="A459" s="1" t="s">
        <v>465</v>
      </c>
      <c r="B459" s="1" t="s">
        <v>343</v>
      </c>
      <c r="C459" s="2">
        <v>2.2999999999999998</v>
      </c>
      <c r="D459" s="2">
        <v>1.5</v>
      </c>
      <c r="E459" s="2">
        <v>2.9000000000000004</v>
      </c>
      <c r="F459" s="2">
        <v>0</v>
      </c>
      <c r="G459" s="2">
        <v>1.5</v>
      </c>
      <c r="H459" s="2">
        <v>2</v>
      </c>
      <c r="I459" s="2">
        <v>0</v>
      </c>
      <c r="J459" s="2">
        <v>0</v>
      </c>
      <c r="K459" s="2">
        <v>3.6</v>
      </c>
      <c r="L459" s="2">
        <v>0.9</v>
      </c>
      <c r="M459" s="2">
        <v>0</v>
      </c>
      <c r="N459" s="2">
        <v>4.6000000000000005</v>
      </c>
      <c r="O459" s="2">
        <v>0.5</v>
      </c>
      <c r="P459" s="2">
        <v>0</v>
      </c>
      <c r="Q459" s="2">
        <v>8.1999999999999993</v>
      </c>
      <c r="R459" s="2">
        <v>0</v>
      </c>
      <c r="S459" s="2">
        <v>1.7000000000000002</v>
      </c>
      <c r="T459" s="2">
        <v>0</v>
      </c>
      <c r="U459" s="1">
        <f>COUNTIF(C459:T459,"&gt;"&amp;VLOOKUP(B459,MetaTable,3,FALSE))</f>
        <v>0</v>
      </c>
      <c r="V459">
        <v>29.7</v>
      </c>
      <c r="W459">
        <f t="shared" si="7"/>
        <v>3.3</v>
      </c>
    </row>
    <row r="460" spans="1:23" x14ac:dyDescent="0.45">
      <c r="A460" s="1" t="s">
        <v>466</v>
      </c>
      <c r="B460" s="1" t="s">
        <v>343</v>
      </c>
      <c r="C460" s="2">
        <v>2.4000000000000004</v>
      </c>
      <c r="D460" s="2">
        <v>0</v>
      </c>
      <c r="E460" s="2">
        <v>0</v>
      </c>
      <c r="F460" s="2">
        <v>10.1</v>
      </c>
      <c r="G460" s="2">
        <v>0</v>
      </c>
      <c r="H460" s="2">
        <v>0</v>
      </c>
      <c r="I460" s="2">
        <v>2.1</v>
      </c>
      <c r="J460" s="2">
        <v>3.9000000000000004</v>
      </c>
      <c r="K460" s="2">
        <v>4.3000000000000007</v>
      </c>
      <c r="L460" s="2">
        <v>0</v>
      </c>
      <c r="M460" s="2">
        <v>0</v>
      </c>
      <c r="N460" s="2">
        <v>2.2999999999999998</v>
      </c>
      <c r="O460" s="2">
        <v>0</v>
      </c>
      <c r="P460" s="2">
        <v>0</v>
      </c>
      <c r="Q460" s="2">
        <v>0</v>
      </c>
      <c r="R460" s="2">
        <v>4.0999999999999996</v>
      </c>
      <c r="S460" s="2">
        <v>0</v>
      </c>
      <c r="T460" s="2">
        <v>0</v>
      </c>
      <c r="U460" s="1">
        <f>COUNTIF(C460:T460,"&gt;"&amp;VLOOKUP(B460,MetaTable,3,FALSE))</f>
        <v>1</v>
      </c>
      <c r="V460">
        <v>29.2</v>
      </c>
      <c r="W460">
        <f t="shared" si="7"/>
        <v>4.1714285714285717</v>
      </c>
    </row>
    <row r="461" spans="1:23" x14ac:dyDescent="0.45">
      <c r="A461" s="1" t="s">
        <v>467</v>
      </c>
      <c r="B461" s="1" t="s">
        <v>343</v>
      </c>
      <c r="C461" s="2">
        <v>0</v>
      </c>
      <c r="D461" s="2">
        <v>0</v>
      </c>
      <c r="E461" s="2">
        <v>2.8</v>
      </c>
      <c r="F461" s="2">
        <v>1.5</v>
      </c>
      <c r="G461" s="2">
        <v>0</v>
      </c>
      <c r="H461" s="2">
        <v>0</v>
      </c>
      <c r="I461" s="2">
        <v>0</v>
      </c>
      <c r="J461" s="2">
        <v>2.8</v>
      </c>
      <c r="K461" s="2">
        <v>5.4</v>
      </c>
      <c r="L461" s="2">
        <v>0.6</v>
      </c>
      <c r="M461" s="2">
        <v>2.2999999999999998</v>
      </c>
      <c r="N461" s="2">
        <v>1.3</v>
      </c>
      <c r="O461" s="2">
        <v>0</v>
      </c>
      <c r="P461" s="2">
        <v>0</v>
      </c>
      <c r="Q461" s="2">
        <v>2.2000000000000002</v>
      </c>
      <c r="R461" s="2">
        <v>3.4000000000000004</v>
      </c>
      <c r="S461" s="2">
        <v>3.1</v>
      </c>
      <c r="T461" s="2">
        <v>2.9000000000000004</v>
      </c>
      <c r="U461" s="1">
        <f>COUNTIF(C461:T461,"&gt;"&amp;VLOOKUP(B461,MetaTable,3,FALSE))</f>
        <v>0</v>
      </c>
      <c r="V461">
        <v>28.3</v>
      </c>
      <c r="W461">
        <f t="shared" si="7"/>
        <v>2.83</v>
      </c>
    </row>
    <row r="462" spans="1:23" x14ac:dyDescent="0.45">
      <c r="A462" s="1" t="s">
        <v>468</v>
      </c>
      <c r="B462" s="1" t="s">
        <v>343</v>
      </c>
      <c r="C462" s="2">
        <v>0</v>
      </c>
      <c r="D462" s="2">
        <v>0</v>
      </c>
      <c r="E462" s="2">
        <v>0</v>
      </c>
      <c r="F462" s="2">
        <v>0</v>
      </c>
      <c r="G462" s="2">
        <v>5.3000000000000007</v>
      </c>
      <c r="H462" s="2">
        <v>0</v>
      </c>
      <c r="I462" s="2">
        <v>12</v>
      </c>
      <c r="J462" s="2">
        <v>1.3</v>
      </c>
      <c r="K462" s="2">
        <v>3.2</v>
      </c>
      <c r="L462" s="2">
        <v>0.8</v>
      </c>
      <c r="M462" s="2">
        <v>3.1</v>
      </c>
      <c r="N462" s="2">
        <v>1.5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1">
        <f>COUNTIF(C462:T462,"&gt;"&amp;VLOOKUP(B462,MetaTable,3,FALSE))</f>
        <v>1</v>
      </c>
      <c r="V462">
        <v>27.2</v>
      </c>
      <c r="W462">
        <f t="shared" si="7"/>
        <v>4.5333333333333332</v>
      </c>
    </row>
    <row r="463" spans="1:23" x14ac:dyDescent="0.45">
      <c r="A463" s="1" t="s">
        <v>469</v>
      </c>
      <c r="B463" s="1" t="s">
        <v>343</v>
      </c>
      <c r="C463" s="2">
        <v>0</v>
      </c>
      <c r="D463" s="2">
        <v>0</v>
      </c>
      <c r="E463" s="2">
        <v>0</v>
      </c>
      <c r="F463" s="2">
        <v>2.2000000000000002</v>
      </c>
      <c r="G463" s="2">
        <v>2.4000000000000004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8.5</v>
      </c>
      <c r="O463" s="2">
        <v>0</v>
      </c>
      <c r="P463" s="2">
        <v>0</v>
      </c>
      <c r="Q463" s="2">
        <v>0</v>
      </c>
      <c r="R463" s="2">
        <v>0</v>
      </c>
      <c r="S463" s="2">
        <v>6.8</v>
      </c>
      <c r="T463" s="2">
        <v>6.8000000000000007</v>
      </c>
      <c r="U463" s="1">
        <f>COUNTIF(C463:T463,"&gt;"&amp;VLOOKUP(B463,MetaTable,3,FALSE))</f>
        <v>0</v>
      </c>
      <c r="V463">
        <v>26.7</v>
      </c>
      <c r="W463">
        <f t="shared" si="7"/>
        <v>5.34</v>
      </c>
    </row>
    <row r="464" spans="1:23" x14ac:dyDescent="0.45">
      <c r="A464" s="1" t="s">
        <v>470</v>
      </c>
      <c r="B464" s="1" t="s">
        <v>343</v>
      </c>
      <c r="C464" s="2">
        <v>1.1000000000000001</v>
      </c>
      <c r="D464" s="2">
        <v>8.1999999999999993</v>
      </c>
      <c r="E464" s="2">
        <v>2.2999999999999998</v>
      </c>
      <c r="F464" s="2">
        <v>4.5</v>
      </c>
      <c r="G464" s="2">
        <v>1.8</v>
      </c>
      <c r="H464" s="2">
        <v>0.9</v>
      </c>
      <c r="I464" s="2">
        <v>0</v>
      </c>
      <c r="J464" s="2">
        <v>0</v>
      </c>
      <c r="K464" s="2">
        <v>0</v>
      </c>
      <c r="L464" s="2">
        <v>6.7</v>
      </c>
      <c r="M464" s="2">
        <v>0</v>
      </c>
      <c r="N464" s="2">
        <v>1.2000000000000002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1">
        <f>COUNTIF(C464:T464,"&gt;"&amp;VLOOKUP(B464,MetaTable,3,FALSE))</f>
        <v>0</v>
      </c>
      <c r="V464">
        <v>26.7</v>
      </c>
      <c r="W464">
        <f t="shared" si="7"/>
        <v>3.8142857142857141</v>
      </c>
    </row>
    <row r="465" spans="1:23" x14ac:dyDescent="0.45">
      <c r="A465" s="1" t="s">
        <v>471</v>
      </c>
      <c r="B465" s="1" t="s">
        <v>343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1.3</v>
      </c>
      <c r="M465" s="2">
        <v>1.4</v>
      </c>
      <c r="N465" s="2">
        <v>0</v>
      </c>
      <c r="O465" s="2">
        <v>3</v>
      </c>
      <c r="P465" s="2">
        <v>0</v>
      </c>
      <c r="Q465" s="2">
        <v>3.4000000000000004</v>
      </c>
      <c r="R465" s="2">
        <v>4.0999999999999996</v>
      </c>
      <c r="S465" s="2">
        <v>4.2</v>
      </c>
      <c r="T465" s="2">
        <v>8.6</v>
      </c>
      <c r="U465" s="1">
        <f>COUNTIF(C465:T465,"&gt;"&amp;VLOOKUP(B465,MetaTable,3,FALSE))</f>
        <v>0</v>
      </c>
      <c r="V465">
        <v>26</v>
      </c>
      <c r="W465">
        <f t="shared" si="7"/>
        <v>3.7142857142857144</v>
      </c>
    </row>
    <row r="466" spans="1:23" x14ac:dyDescent="0.45">
      <c r="A466" s="1" t="s">
        <v>472</v>
      </c>
      <c r="B466" s="1" t="s">
        <v>343</v>
      </c>
      <c r="C466" s="2">
        <v>3.3</v>
      </c>
      <c r="D466" s="2">
        <v>0</v>
      </c>
      <c r="E466" s="2">
        <v>5.9</v>
      </c>
      <c r="F466" s="2">
        <v>2.2000000000000002</v>
      </c>
      <c r="G466" s="2">
        <v>3.4000000000000004</v>
      </c>
      <c r="H466" s="2">
        <v>1</v>
      </c>
      <c r="I466" s="2">
        <v>0</v>
      </c>
      <c r="J466" s="2">
        <v>1.3</v>
      </c>
      <c r="K466" s="2">
        <v>0</v>
      </c>
      <c r="L466" s="2">
        <v>2.8000000000000003</v>
      </c>
      <c r="M466" s="2">
        <v>0</v>
      </c>
      <c r="N466" s="2">
        <v>1.3</v>
      </c>
      <c r="O466" s="2">
        <v>2.2999999999999998</v>
      </c>
      <c r="P466" s="2">
        <v>0</v>
      </c>
      <c r="Q466" s="2">
        <v>0.5</v>
      </c>
      <c r="R466" s="2">
        <v>1.8</v>
      </c>
      <c r="S466" s="2">
        <v>0</v>
      </c>
      <c r="T466" s="2">
        <v>0</v>
      </c>
      <c r="U466" s="1">
        <f>COUNTIF(C466:T466,"&gt;"&amp;VLOOKUP(B466,MetaTable,3,FALSE))</f>
        <v>0</v>
      </c>
      <c r="V466">
        <v>25.8</v>
      </c>
      <c r="W466">
        <f t="shared" si="7"/>
        <v>2.8666666666666667</v>
      </c>
    </row>
    <row r="467" spans="1:23" x14ac:dyDescent="0.45">
      <c r="A467" s="1" t="s">
        <v>473</v>
      </c>
      <c r="B467" s="1" t="s">
        <v>343</v>
      </c>
      <c r="C467" s="2">
        <v>3.3</v>
      </c>
      <c r="D467" s="2">
        <v>0.6</v>
      </c>
      <c r="E467" s="2">
        <v>3.5</v>
      </c>
      <c r="F467" s="2">
        <v>3.9000000000000004</v>
      </c>
      <c r="G467" s="2">
        <v>4.7</v>
      </c>
      <c r="H467" s="2">
        <v>0.6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1.3</v>
      </c>
      <c r="O467" s="2">
        <v>0.7</v>
      </c>
      <c r="P467" s="2">
        <v>0</v>
      </c>
      <c r="Q467" s="2">
        <v>0</v>
      </c>
      <c r="R467" s="2">
        <v>0</v>
      </c>
      <c r="S467" s="2">
        <v>1.7000000000000002</v>
      </c>
      <c r="T467" s="2">
        <v>3.4000000000000004</v>
      </c>
      <c r="U467" s="1">
        <f>COUNTIF(C467:T467,"&gt;"&amp;VLOOKUP(B467,MetaTable,3,FALSE))</f>
        <v>0</v>
      </c>
      <c r="V467">
        <v>23.7</v>
      </c>
      <c r="W467">
        <f t="shared" si="7"/>
        <v>3.3857142857142857</v>
      </c>
    </row>
    <row r="468" spans="1:23" x14ac:dyDescent="0.45">
      <c r="A468" s="1" t="s">
        <v>474</v>
      </c>
      <c r="B468" s="1" t="s">
        <v>343</v>
      </c>
      <c r="C468" s="2">
        <v>0</v>
      </c>
      <c r="D468" s="2">
        <v>2.5</v>
      </c>
      <c r="E468" s="2">
        <v>0</v>
      </c>
      <c r="F468" s="2">
        <v>4.5</v>
      </c>
      <c r="G468" s="2">
        <v>0.8</v>
      </c>
      <c r="H468" s="2">
        <v>2.8</v>
      </c>
      <c r="I468" s="2">
        <v>0</v>
      </c>
      <c r="J468" s="2">
        <v>2</v>
      </c>
      <c r="K468" s="2">
        <v>0</v>
      </c>
      <c r="L468" s="2">
        <v>0</v>
      </c>
      <c r="M468" s="2">
        <v>0</v>
      </c>
      <c r="N468" s="2">
        <v>1.3</v>
      </c>
      <c r="O468" s="2">
        <v>0</v>
      </c>
      <c r="P468" s="2">
        <v>0</v>
      </c>
      <c r="Q468" s="2">
        <v>1.3</v>
      </c>
      <c r="R468" s="2">
        <v>1.1000000000000001</v>
      </c>
      <c r="S468" s="2">
        <v>0</v>
      </c>
      <c r="T468" s="2">
        <v>6.9</v>
      </c>
      <c r="U468" s="1">
        <f>COUNTIF(C468:T468,"&gt;"&amp;VLOOKUP(B468,MetaTable,3,FALSE))</f>
        <v>0</v>
      </c>
      <c r="V468">
        <v>23.2</v>
      </c>
      <c r="W468">
        <f t="shared" si="7"/>
        <v>2.9</v>
      </c>
    </row>
    <row r="469" spans="1:23" x14ac:dyDescent="0.45">
      <c r="A469" s="1" t="s">
        <v>475</v>
      </c>
      <c r="B469" s="1" t="s">
        <v>343</v>
      </c>
      <c r="C469" s="2">
        <v>0</v>
      </c>
      <c r="D469" s="2">
        <v>0</v>
      </c>
      <c r="E469" s="2">
        <v>0</v>
      </c>
      <c r="F469" s="2">
        <v>0</v>
      </c>
      <c r="G469" s="2">
        <v>13.7</v>
      </c>
      <c r="H469" s="2">
        <v>0</v>
      </c>
      <c r="I469" s="2">
        <v>0</v>
      </c>
      <c r="J469" s="2">
        <v>0</v>
      </c>
      <c r="K469" s="2">
        <v>1.4</v>
      </c>
      <c r="L469" s="2">
        <v>0</v>
      </c>
      <c r="M469" s="2">
        <v>3.2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1.4</v>
      </c>
      <c r="T469" s="2">
        <v>2.9000000000000004</v>
      </c>
      <c r="U469" s="1">
        <f>COUNTIF(C469:T469,"&gt;"&amp;VLOOKUP(B469,MetaTable,3,FALSE))</f>
        <v>1</v>
      </c>
      <c r="V469">
        <v>22.6</v>
      </c>
      <c r="W469">
        <f t="shared" si="7"/>
        <v>4.5200000000000005</v>
      </c>
    </row>
    <row r="470" spans="1:23" x14ac:dyDescent="0.45">
      <c r="A470" s="1" t="s">
        <v>476</v>
      </c>
      <c r="B470" s="1" t="s">
        <v>343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13</v>
      </c>
      <c r="I470" s="2">
        <v>5.2</v>
      </c>
      <c r="J470" s="2">
        <v>4.0999999999999996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1">
        <f>COUNTIF(C470:T470,"&gt;"&amp;VLOOKUP(B470,MetaTable,3,FALSE))</f>
        <v>1</v>
      </c>
      <c r="V470">
        <v>22.3</v>
      </c>
      <c r="W470">
        <f t="shared" si="7"/>
        <v>7.4333333333333336</v>
      </c>
    </row>
    <row r="471" spans="1:23" x14ac:dyDescent="0.45">
      <c r="A471" s="1" t="s">
        <v>477</v>
      </c>
      <c r="B471" s="1" t="s">
        <v>343</v>
      </c>
      <c r="C471" s="2">
        <v>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4.2</v>
      </c>
      <c r="R471" s="2">
        <v>14.5</v>
      </c>
      <c r="S471" s="2">
        <v>4</v>
      </c>
      <c r="T471" s="2">
        <v>-2</v>
      </c>
      <c r="U471" s="1">
        <f>COUNTIF(C471:T471,"&gt;"&amp;VLOOKUP(B471,MetaTable,3,FALSE))</f>
        <v>1</v>
      </c>
      <c r="V471">
        <v>21.7</v>
      </c>
      <c r="W471">
        <f t="shared" si="7"/>
        <v>7.2333333333333334</v>
      </c>
    </row>
    <row r="472" spans="1:23" x14ac:dyDescent="0.45">
      <c r="A472" s="1" t="s">
        <v>478</v>
      </c>
      <c r="B472" s="1" t="s">
        <v>343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4.5999999999999996</v>
      </c>
      <c r="M472" s="2">
        <v>2.2999999999999998</v>
      </c>
      <c r="N472" s="2">
        <v>0</v>
      </c>
      <c r="O472" s="2">
        <v>5.5</v>
      </c>
      <c r="P472" s="2">
        <v>1</v>
      </c>
      <c r="Q472" s="2">
        <v>1.3</v>
      </c>
      <c r="R472" s="2">
        <v>2.2000000000000002</v>
      </c>
      <c r="S472" s="2">
        <v>2.8000000000000003</v>
      </c>
      <c r="T472" s="2">
        <v>1.8</v>
      </c>
      <c r="U472" s="1">
        <f>COUNTIF(C472:T472,"&gt;"&amp;VLOOKUP(B472,MetaTable,3,FALSE))</f>
        <v>0</v>
      </c>
      <c r="V472">
        <v>21.5</v>
      </c>
      <c r="W472">
        <f t="shared" si="7"/>
        <v>3.0714285714285716</v>
      </c>
    </row>
    <row r="473" spans="1:23" x14ac:dyDescent="0.45">
      <c r="A473" s="1" t="s">
        <v>479</v>
      </c>
      <c r="B473" s="1" t="s">
        <v>343</v>
      </c>
      <c r="C473" s="2">
        <v>0</v>
      </c>
      <c r="D473" s="2">
        <v>0.8</v>
      </c>
      <c r="E473" s="2">
        <v>0</v>
      </c>
      <c r="F473" s="2">
        <v>3.3000000000000003</v>
      </c>
      <c r="G473" s="2">
        <v>1.7000000000000002</v>
      </c>
      <c r="H473" s="2">
        <v>3.8000000000000003</v>
      </c>
      <c r="I473" s="2">
        <v>1.2000000000000002</v>
      </c>
      <c r="J473" s="2">
        <v>0</v>
      </c>
      <c r="K473" s="2">
        <v>2.4000000000000004</v>
      </c>
      <c r="L473" s="2">
        <v>0</v>
      </c>
      <c r="M473" s="2">
        <v>0</v>
      </c>
      <c r="N473" s="2">
        <v>0.5</v>
      </c>
      <c r="O473" s="2">
        <v>0</v>
      </c>
      <c r="P473" s="2">
        <v>0</v>
      </c>
      <c r="Q473" s="2">
        <v>0</v>
      </c>
      <c r="R473" s="2">
        <v>1.4000000000000001</v>
      </c>
      <c r="S473" s="2">
        <v>3.3</v>
      </c>
      <c r="T473" s="2">
        <v>0.1</v>
      </c>
      <c r="U473" s="1">
        <f>COUNTIF(C473:T473,"&gt;"&amp;VLOOKUP(B473,MetaTable,3,FALSE))</f>
        <v>0</v>
      </c>
      <c r="V473">
        <v>18.5</v>
      </c>
      <c r="W473">
        <f t="shared" si="7"/>
        <v>2.6428571428571428</v>
      </c>
    </row>
    <row r="474" spans="1:23" x14ac:dyDescent="0.45">
      <c r="A474" s="1" t="s">
        <v>480</v>
      </c>
      <c r="B474" s="1" t="s">
        <v>343</v>
      </c>
      <c r="C474" s="2">
        <v>0</v>
      </c>
      <c r="D474" s="2">
        <v>2.2000000000000002</v>
      </c>
      <c r="E474" s="2">
        <v>1.3</v>
      </c>
      <c r="F474" s="2">
        <v>1.3</v>
      </c>
      <c r="G474" s="2">
        <v>0</v>
      </c>
      <c r="H474" s="2">
        <v>0</v>
      </c>
      <c r="I474" s="2">
        <v>0</v>
      </c>
      <c r="J474" s="2">
        <v>7.5</v>
      </c>
      <c r="K474" s="2">
        <v>1.2000000000000002</v>
      </c>
      <c r="L474" s="2">
        <v>1.6</v>
      </c>
      <c r="M474" s="2">
        <v>2.1</v>
      </c>
      <c r="N474" s="2">
        <v>0</v>
      </c>
      <c r="O474" s="2">
        <v>0</v>
      </c>
      <c r="P474" s="2">
        <v>0</v>
      </c>
      <c r="Q474" s="2">
        <v>1.1000000000000001</v>
      </c>
      <c r="R474" s="2">
        <v>0</v>
      </c>
      <c r="S474" s="2">
        <v>0</v>
      </c>
      <c r="T474" s="2">
        <v>0</v>
      </c>
      <c r="U474" s="1">
        <f>COUNTIF(C474:T474,"&gt;"&amp;VLOOKUP(B474,MetaTable,3,FALSE))</f>
        <v>0</v>
      </c>
      <c r="V474">
        <v>18.3</v>
      </c>
      <c r="W474">
        <f t="shared" si="7"/>
        <v>2.2875000000000001</v>
      </c>
    </row>
    <row r="475" spans="1:23" x14ac:dyDescent="0.45">
      <c r="A475" s="1" t="s">
        <v>481</v>
      </c>
      <c r="B475" s="1" t="s">
        <v>343</v>
      </c>
      <c r="C475" s="2">
        <v>11.9</v>
      </c>
      <c r="D475" s="2">
        <v>1.8</v>
      </c>
      <c r="E475" s="2">
        <v>0</v>
      </c>
      <c r="F475" s="2">
        <v>0</v>
      </c>
      <c r="G475" s="2">
        <v>0.9</v>
      </c>
      <c r="H475" s="2">
        <v>0</v>
      </c>
      <c r="I475" s="2">
        <v>1.2000000000000002</v>
      </c>
      <c r="J475" s="2">
        <v>0</v>
      </c>
      <c r="K475" s="2">
        <v>1.7000000000000002</v>
      </c>
      <c r="L475" s="2">
        <v>0.70000000000000007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1">
        <f>COUNTIF(C475:T475,"&gt;"&amp;VLOOKUP(B475,MetaTable,3,FALSE))</f>
        <v>1</v>
      </c>
      <c r="V475">
        <v>18.2</v>
      </c>
      <c r="W475">
        <f t="shared" si="7"/>
        <v>4.55</v>
      </c>
    </row>
    <row r="476" spans="1:23" x14ac:dyDescent="0.45">
      <c r="A476" s="1" t="s">
        <v>482</v>
      </c>
      <c r="B476" s="1" t="s">
        <v>343</v>
      </c>
      <c r="C476" s="2">
        <v>0.8</v>
      </c>
      <c r="D476" s="2">
        <v>0</v>
      </c>
      <c r="E476" s="2">
        <v>0</v>
      </c>
      <c r="F476" s="2">
        <v>0</v>
      </c>
      <c r="G476" s="2">
        <v>4.0999999999999996</v>
      </c>
      <c r="H476" s="2">
        <v>0</v>
      </c>
      <c r="I476" s="2">
        <v>1.6</v>
      </c>
      <c r="J476" s="2">
        <v>2.4000000000000004</v>
      </c>
      <c r="K476" s="2">
        <v>0</v>
      </c>
      <c r="L476" s="2">
        <v>1.6</v>
      </c>
      <c r="M476" s="2">
        <v>0</v>
      </c>
      <c r="N476" s="2">
        <v>0</v>
      </c>
      <c r="O476" s="2">
        <v>0</v>
      </c>
      <c r="P476" s="2">
        <v>0</v>
      </c>
      <c r="Q476" s="2">
        <v>1.8</v>
      </c>
      <c r="R476" s="2">
        <v>1.3</v>
      </c>
      <c r="S476" s="2">
        <v>3.1</v>
      </c>
      <c r="T476" s="2">
        <v>1</v>
      </c>
      <c r="U476" s="1">
        <f>COUNTIF(C476:T476,"&gt;"&amp;VLOOKUP(B476,MetaTable,3,FALSE))</f>
        <v>0</v>
      </c>
      <c r="V476">
        <v>17.7</v>
      </c>
      <c r="W476">
        <f t="shared" si="7"/>
        <v>2.5285714285714285</v>
      </c>
    </row>
    <row r="477" spans="1:23" x14ac:dyDescent="0.45">
      <c r="A477" s="1" t="s">
        <v>483</v>
      </c>
      <c r="B477" s="1" t="s">
        <v>343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7.3000000000000007</v>
      </c>
      <c r="K477" s="2">
        <v>1.4</v>
      </c>
      <c r="L477" s="2">
        <v>2</v>
      </c>
      <c r="M477" s="2">
        <v>0</v>
      </c>
      <c r="N477" s="2">
        <v>3.5</v>
      </c>
      <c r="O477" s="2">
        <v>0</v>
      </c>
      <c r="P477" s="2">
        <v>0</v>
      </c>
      <c r="Q477" s="2">
        <v>0</v>
      </c>
      <c r="R477" s="2">
        <v>1.1000000000000001</v>
      </c>
      <c r="S477" s="2">
        <v>1.6</v>
      </c>
      <c r="T477" s="2">
        <v>0</v>
      </c>
      <c r="U477" s="1">
        <f>COUNTIF(C477:T477,"&gt;"&amp;VLOOKUP(B477,MetaTable,3,FALSE))</f>
        <v>0</v>
      </c>
      <c r="V477">
        <v>16.899999999999999</v>
      </c>
      <c r="W477">
        <f t="shared" si="7"/>
        <v>2.8166666666666664</v>
      </c>
    </row>
    <row r="478" spans="1:23" x14ac:dyDescent="0.45">
      <c r="A478" s="1" t="s">
        <v>484</v>
      </c>
      <c r="B478" s="1" t="s">
        <v>343</v>
      </c>
      <c r="C478" s="2">
        <v>1.1000000000000001</v>
      </c>
      <c r="D478" s="2">
        <v>0</v>
      </c>
      <c r="E478" s="2">
        <v>2.1</v>
      </c>
      <c r="F478" s="2">
        <v>1.1000000000000001</v>
      </c>
      <c r="G478" s="2">
        <v>0.7</v>
      </c>
      <c r="H478" s="2">
        <v>2</v>
      </c>
      <c r="I478" s="2">
        <v>7.5</v>
      </c>
      <c r="J478" s="2">
        <v>2.4000000000000004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1">
        <f>COUNTIF(C478:T478,"&gt;"&amp;VLOOKUP(B478,MetaTable,3,FALSE))</f>
        <v>0</v>
      </c>
      <c r="V478">
        <v>16.899999999999999</v>
      </c>
      <c r="W478">
        <f t="shared" si="7"/>
        <v>2.8166666666666664</v>
      </c>
    </row>
    <row r="479" spans="1:23" x14ac:dyDescent="0.45">
      <c r="A479" s="1" t="s">
        <v>485</v>
      </c>
      <c r="B479" s="1" t="s">
        <v>343</v>
      </c>
      <c r="C479" s="2">
        <v>3.6</v>
      </c>
      <c r="D479" s="2">
        <v>1.2000000000000002</v>
      </c>
      <c r="E479" s="2">
        <v>0</v>
      </c>
      <c r="F479" s="2">
        <v>0.8</v>
      </c>
      <c r="G479" s="2">
        <v>0</v>
      </c>
      <c r="H479" s="2">
        <v>0</v>
      </c>
      <c r="I479" s="2">
        <v>9.6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1">
        <f>COUNTIF(C479:T479,"&gt;"&amp;VLOOKUP(B479,MetaTable,3,FALSE))</f>
        <v>0</v>
      </c>
      <c r="V479">
        <v>15.2</v>
      </c>
      <c r="W479">
        <f t="shared" si="7"/>
        <v>5.0666666666666664</v>
      </c>
    </row>
    <row r="480" spans="1:23" x14ac:dyDescent="0.45">
      <c r="A480" s="1" t="s">
        <v>486</v>
      </c>
      <c r="B480" s="1" t="s">
        <v>343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0.7</v>
      </c>
      <c r="L480" s="2">
        <v>1.6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11.9</v>
      </c>
      <c r="U480" s="1">
        <f>COUNTIF(C480:T480,"&gt;"&amp;VLOOKUP(B480,MetaTable,3,FALSE))</f>
        <v>1</v>
      </c>
      <c r="V480">
        <v>14.2</v>
      </c>
      <c r="W480">
        <f t="shared" si="7"/>
        <v>7.1</v>
      </c>
    </row>
    <row r="481" spans="1:23" x14ac:dyDescent="0.45">
      <c r="A481" s="1" t="s">
        <v>487</v>
      </c>
      <c r="B481" s="1" t="s">
        <v>343</v>
      </c>
      <c r="C481" s="2">
        <v>0.30000000000000004</v>
      </c>
      <c r="D481" s="2">
        <v>0.4</v>
      </c>
      <c r="E481" s="2">
        <v>0.4</v>
      </c>
      <c r="F481" s="2">
        <v>0</v>
      </c>
      <c r="G481" s="2">
        <v>0.30000000000000004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3.3000000000000003</v>
      </c>
      <c r="P481" s="2">
        <v>1.6</v>
      </c>
      <c r="Q481" s="2">
        <v>5.7</v>
      </c>
      <c r="R481" s="2">
        <v>0.8</v>
      </c>
      <c r="S481" s="2">
        <v>0.9</v>
      </c>
      <c r="T481" s="2">
        <v>0</v>
      </c>
      <c r="U481" s="1">
        <f>COUNTIF(C481:T481,"&gt;"&amp;VLOOKUP(B481,MetaTable,3,FALSE))</f>
        <v>0</v>
      </c>
      <c r="V481">
        <v>13.7</v>
      </c>
      <c r="W481">
        <f t="shared" si="7"/>
        <v>4.5666666666666664</v>
      </c>
    </row>
    <row r="482" spans="1:23" x14ac:dyDescent="0.45">
      <c r="A482" s="1" t="s">
        <v>488</v>
      </c>
      <c r="B482" s="1" t="s">
        <v>343</v>
      </c>
      <c r="C482" s="2">
        <v>0</v>
      </c>
      <c r="D482" s="2">
        <v>0</v>
      </c>
      <c r="E482" s="2">
        <v>2.2000000000000002</v>
      </c>
      <c r="F482" s="2">
        <v>0</v>
      </c>
      <c r="G482" s="2">
        <v>0</v>
      </c>
      <c r="H482" s="2">
        <v>5.4</v>
      </c>
      <c r="I482" s="2">
        <v>6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1">
        <f>COUNTIF(C482:T482,"&gt;"&amp;VLOOKUP(B482,MetaTable,3,FALSE))</f>
        <v>0</v>
      </c>
      <c r="V482">
        <v>13.6</v>
      </c>
      <c r="W482">
        <f t="shared" si="7"/>
        <v>4.5333333333333332</v>
      </c>
    </row>
    <row r="483" spans="1:23" x14ac:dyDescent="0.45">
      <c r="A483" s="1" t="s">
        <v>489</v>
      </c>
      <c r="B483" s="1" t="s">
        <v>343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7</v>
      </c>
      <c r="S483" s="2">
        <v>6.6000000000000005</v>
      </c>
      <c r="T483" s="2">
        <v>0</v>
      </c>
      <c r="U483" s="1">
        <f>COUNTIF(C483:T483,"&gt;"&amp;VLOOKUP(B483,MetaTable,3,FALSE))</f>
        <v>0</v>
      </c>
      <c r="V483">
        <v>13.6</v>
      </c>
      <c r="W483">
        <f t="shared" si="7"/>
        <v>6.8</v>
      </c>
    </row>
    <row r="484" spans="1:23" x14ac:dyDescent="0.45">
      <c r="A484" s="1" t="s">
        <v>490</v>
      </c>
      <c r="B484" s="1" t="s">
        <v>343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13.4</v>
      </c>
      <c r="T484" s="2">
        <v>0</v>
      </c>
      <c r="U484" s="1">
        <f>COUNTIF(C484:T484,"&gt;"&amp;VLOOKUP(B484,MetaTable,3,FALSE))</f>
        <v>1</v>
      </c>
      <c r="V484">
        <v>13.4</v>
      </c>
      <c r="W484">
        <f t="shared" si="7"/>
        <v>13.4</v>
      </c>
    </row>
    <row r="485" spans="1:23" x14ac:dyDescent="0.45">
      <c r="A485" s="1" t="s">
        <v>491</v>
      </c>
      <c r="B485" s="1" t="s">
        <v>343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-0.29999999999999982</v>
      </c>
      <c r="I485" s="2">
        <v>0</v>
      </c>
      <c r="J485" s="2">
        <v>0</v>
      </c>
      <c r="K485" s="2">
        <v>1.8</v>
      </c>
      <c r="L485" s="2">
        <v>0</v>
      </c>
      <c r="M485" s="2">
        <v>2.9000000000000004</v>
      </c>
      <c r="N485" s="2">
        <v>0</v>
      </c>
      <c r="O485" s="2">
        <v>0</v>
      </c>
      <c r="P485" s="2">
        <v>0</v>
      </c>
      <c r="Q485" s="2">
        <v>0</v>
      </c>
      <c r="R485" s="2">
        <v>5.6000000000000005</v>
      </c>
      <c r="S485" s="2">
        <v>0.8</v>
      </c>
      <c r="T485" s="2">
        <v>2.4000000000000004</v>
      </c>
      <c r="U485" s="1">
        <f>COUNTIF(C485:T485,"&gt;"&amp;VLOOKUP(B485,MetaTable,3,FALSE))</f>
        <v>0</v>
      </c>
      <c r="V485">
        <v>13.2</v>
      </c>
      <c r="W485">
        <f t="shared" si="7"/>
        <v>3.3</v>
      </c>
    </row>
    <row r="486" spans="1:23" x14ac:dyDescent="0.45">
      <c r="A486" s="1" t="s">
        <v>492</v>
      </c>
      <c r="B486" s="1" t="s">
        <v>343</v>
      </c>
      <c r="C486" s="2">
        <v>0</v>
      </c>
      <c r="D486" s="2">
        <v>5.2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4.6000000000000005</v>
      </c>
      <c r="K486" s="2">
        <v>0</v>
      </c>
      <c r="L486" s="2">
        <v>1.6</v>
      </c>
      <c r="M486" s="2">
        <v>1.3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1">
        <f>COUNTIF(C486:T486,"&gt;"&amp;VLOOKUP(B486,MetaTable,3,FALSE))</f>
        <v>0</v>
      </c>
      <c r="V486">
        <v>12.7</v>
      </c>
      <c r="W486">
        <f t="shared" si="7"/>
        <v>3.1749999999999998</v>
      </c>
    </row>
    <row r="487" spans="1:23" x14ac:dyDescent="0.45">
      <c r="A487" s="1" t="s">
        <v>493</v>
      </c>
      <c r="B487" s="1" t="s">
        <v>343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3.3000000000000003</v>
      </c>
      <c r="M487" s="2">
        <v>3.8000000000000003</v>
      </c>
      <c r="N487" s="2">
        <v>0</v>
      </c>
      <c r="O487" s="2">
        <v>0</v>
      </c>
      <c r="P487" s="2">
        <v>2.1</v>
      </c>
      <c r="Q487" s="2">
        <v>1.3</v>
      </c>
      <c r="R487" s="2">
        <v>0</v>
      </c>
      <c r="S487" s="2">
        <v>0</v>
      </c>
      <c r="T487" s="2">
        <v>2</v>
      </c>
      <c r="U487" s="1">
        <f>COUNTIF(C487:T487,"&gt;"&amp;VLOOKUP(B487,MetaTable,3,FALSE))</f>
        <v>0</v>
      </c>
      <c r="V487">
        <v>12.5</v>
      </c>
      <c r="W487">
        <f t="shared" si="7"/>
        <v>2.5</v>
      </c>
    </row>
    <row r="488" spans="1:23" x14ac:dyDescent="0.45">
      <c r="A488" s="1" t="s">
        <v>494</v>
      </c>
      <c r="B488" s="1" t="s">
        <v>343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0.8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1.8</v>
      </c>
      <c r="Q488" s="2">
        <v>0.8</v>
      </c>
      <c r="R488" s="2">
        <v>0</v>
      </c>
      <c r="S488" s="2">
        <v>2.4000000000000004</v>
      </c>
      <c r="T488" s="2">
        <v>6.6000000000000005</v>
      </c>
      <c r="U488" s="1">
        <f>COUNTIF(C488:T488,"&gt;"&amp;VLOOKUP(B488,MetaTable,3,FALSE))</f>
        <v>0</v>
      </c>
      <c r="V488">
        <v>12.4</v>
      </c>
      <c r="W488">
        <f t="shared" si="7"/>
        <v>4.1333333333333337</v>
      </c>
    </row>
    <row r="489" spans="1:23" x14ac:dyDescent="0.45">
      <c r="A489" s="1" t="s">
        <v>495</v>
      </c>
      <c r="B489" s="1" t="s">
        <v>343</v>
      </c>
      <c r="C489" s="2">
        <v>0</v>
      </c>
      <c r="D489" s="2">
        <v>0</v>
      </c>
      <c r="E489" s="2">
        <v>1.4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7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3.9000000000000004</v>
      </c>
      <c r="U489" s="1">
        <f>COUNTIF(C489:T489,"&gt;"&amp;VLOOKUP(B489,MetaTable,3,FALSE))</f>
        <v>0</v>
      </c>
      <c r="V489">
        <v>12.3</v>
      </c>
      <c r="W489">
        <f t="shared" si="7"/>
        <v>4.1000000000000005</v>
      </c>
    </row>
    <row r="490" spans="1:23" x14ac:dyDescent="0.45">
      <c r="A490" s="1" t="s">
        <v>496</v>
      </c>
      <c r="B490" s="1" t="s">
        <v>343</v>
      </c>
      <c r="C490" s="2">
        <v>0</v>
      </c>
      <c r="D490" s="2">
        <v>0</v>
      </c>
      <c r="E490" s="2">
        <v>2.2999999999999998</v>
      </c>
      <c r="F490" s="2">
        <v>9.6999999999999993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1">
        <f>COUNTIF(C490:T490,"&gt;"&amp;VLOOKUP(B490,MetaTable,3,FALSE))</f>
        <v>0</v>
      </c>
      <c r="V490">
        <v>12</v>
      </c>
      <c r="W490">
        <f t="shared" si="7"/>
        <v>6</v>
      </c>
    </row>
    <row r="491" spans="1:23" x14ac:dyDescent="0.45">
      <c r="A491" s="1" t="s">
        <v>497</v>
      </c>
      <c r="B491" s="1" t="s">
        <v>343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11.4</v>
      </c>
      <c r="U491" s="1">
        <f>COUNTIF(C491:T491,"&gt;"&amp;VLOOKUP(B491,MetaTable,3,FALSE))</f>
        <v>1</v>
      </c>
      <c r="V491">
        <v>11.4</v>
      </c>
      <c r="W491">
        <f t="shared" si="7"/>
        <v>11.4</v>
      </c>
    </row>
    <row r="492" spans="1:23" x14ac:dyDescent="0.45">
      <c r="A492" s="1" t="s">
        <v>498</v>
      </c>
      <c r="B492" s="1" t="s">
        <v>343</v>
      </c>
      <c r="C492" s="2">
        <v>0</v>
      </c>
      <c r="D492" s="2">
        <v>0</v>
      </c>
      <c r="E492" s="2">
        <v>2.6</v>
      </c>
      <c r="F492" s="2">
        <v>1.1000000000000001</v>
      </c>
      <c r="G492" s="2">
        <v>0</v>
      </c>
      <c r="H492" s="2">
        <v>0</v>
      </c>
      <c r="I492" s="2">
        <v>0</v>
      </c>
      <c r="J492" s="2">
        <v>6.6</v>
      </c>
      <c r="K492" s="2">
        <v>0</v>
      </c>
      <c r="L492" s="2">
        <v>0</v>
      </c>
      <c r="M492" s="2">
        <v>2.2000000000000002</v>
      </c>
      <c r="N492" s="2">
        <v>0</v>
      </c>
      <c r="O492" s="2">
        <v>0.4</v>
      </c>
      <c r="P492" s="2">
        <v>0</v>
      </c>
      <c r="Q492" s="2">
        <v>0</v>
      </c>
      <c r="R492" s="2">
        <v>-2</v>
      </c>
      <c r="S492" s="2">
        <v>0</v>
      </c>
      <c r="T492" s="2">
        <v>0.5</v>
      </c>
      <c r="U492" s="1">
        <f>COUNTIF(C492:T492,"&gt;"&amp;VLOOKUP(B492,MetaTable,3,FALSE))</f>
        <v>0</v>
      </c>
      <c r="V492">
        <v>11.4</v>
      </c>
      <c r="W492">
        <f t="shared" si="7"/>
        <v>2.85</v>
      </c>
    </row>
    <row r="493" spans="1:23" x14ac:dyDescent="0.45">
      <c r="A493" s="1" t="s">
        <v>499</v>
      </c>
      <c r="B493" s="1" t="s">
        <v>343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2.5000000000000009</v>
      </c>
      <c r="J493" s="2">
        <v>4.5</v>
      </c>
      <c r="K493" s="2">
        <v>0.5</v>
      </c>
      <c r="L493" s="2">
        <v>-0.2</v>
      </c>
      <c r="M493" s="2">
        <v>0</v>
      </c>
      <c r="N493" s="2">
        <v>3</v>
      </c>
      <c r="O493" s="2">
        <v>0</v>
      </c>
      <c r="P493" s="2">
        <v>0.9</v>
      </c>
      <c r="Q493" s="2">
        <v>0</v>
      </c>
      <c r="R493" s="2">
        <v>0</v>
      </c>
      <c r="S493" s="2">
        <v>0</v>
      </c>
      <c r="T493" s="2">
        <v>0</v>
      </c>
      <c r="U493" s="1">
        <f>COUNTIF(C493:T493,"&gt;"&amp;VLOOKUP(B493,MetaTable,3,FALSE))</f>
        <v>0</v>
      </c>
      <c r="V493">
        <v>11.2</v>
      </c>
      <c r="W493">
        <f t="shared" si="7"/>
        <v>3.7333333333333329</v>
      </c>
    </row>
    <row r="494" spans="1:23" x14ac:dyDescent="0.45">
      <c r="A494" s="1" t="s">
        <v>500</v>
      </c>
      <c r="B494" s="1" t="s">
        <v>343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1.4</v>
      </c>
      <c r="Q494" s="2">
        <v>2.6</v>
      </c>
      <c r="R494" s="2">
        <v>0</v>
      </c>
      <c r="S494" s="2">
        <v>0</v>
      </c>
      <c r="T494" s="2">
        <v>7.1</v>
      </c>
      <c r="U494" s="1">
        <f>COUNTIF(C494:T494,"&gt;"&amp;VLOOKUP(B494,MetaTable,3,FALSE))</f>
        <v>0</v>
      </c>
      <c r="V494">
        <v>11.1</v>
      </c>
      <c r="W494">
        <f t="shared" si="7"/>
        <v>3.6999999999999997</v>
      </c>
    </row>
    <row r="495" spans="1:23" x14ac:dyDescent="0.45">
      <c r="A495" s="1" t="s">
        <v>501</v>
      </c>
      <c r="B495" s="1" t="s">
        <v>343</v>
      </c>
      <c r="C495" s="2">
        <v>0</v>
      </c>
      <c r="D495" s="2">
        <v>0.9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1.8</v>
      </c>
      <c r="T495" s="2">
        <v>7.9</v>
      </c>
      <c r="U495" s="1">
        <f>COUNTIF(C495:T495,"&gt;"&amp;VLOOKUP(B495,MetaTable,3,FALSE))</f>
        <v>0</v>
      </c>
      <c r="V495">
        <v>10.6</v>
      </c>
      <c r="W495">
        <f t="shared" si="7"/>
        <v>5.3</v>
      </c>
    </row>
    <row r="496" spans="1:23" x14ac:dyDescent="0.45">
      <c r="A496" s="1" t="s">
        <v>502</v>
      </c>
      <c r="B496" s="1" t="s">
        <v>343</v>
      </c>
      <c r="C496" s="2">
        <v>0</v>
      </c>
      <c r="D496" s="2">
        <v>2.6</v>
      </c>
      <c r="E496" s="2">
        <v>1.8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1.4</v>
      </c>
      <c r="L496" s="2">
        <v>0</v>
      </c>
      <c r="M496" s="2">
        <v>1.8</v>
      </c>
      <c r="N496" s="2">
        <v>0</v>
      </c>
      <c r="O496" s="2">
        <v>1.3</v>
      </c>
      <c r="P496" s="2">
        <v>0</v>
      </c>
      <c r="Q496" s="2">
        <v>1.7000000000000002</v>
      </c>
      <c r="R496" s="2">
        <v>0</v>
      </c>
      <c r="S496" s="2">
        <v>0</v>
      </c>
      <c r="T496" s="2">
        <v>0</v>
      </c>
      <c r="U496" s="1">
        <f>COUNTIF(C496:T496,"&gt;"&amp;VLOOKUP(B496,MetaTable,3,FALSE))</f>
        <v>0</v>
      </c>
      <c r="V496">
        <v>10.6</v>
      </c>
      <c r="W496">
        <f t="shared" si="7"/>
        <v>1.7666666666666666</v>
      </c>
    </row>
    <row r="497" spans="1:23" x14ac:dyDescent="0.45">
      <c r="A497" s="1" t="s">
        <v>503</v>
      </c>
      <c r="B497" s="1" t="s">
        <v>343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1.1000000000000001</v>
      </c>
      <c r="I497" s="2">
        <v>0</v>
      </c>
      <c r="J497" s="2">
        <v>0</v>
      </c>
      <c r="K497" s="2">
        <v>0</v>
      </c>
      <c r="L497" s="2">
        <v>5.9</v>
      </c>
      <c r="M497" s="2">
        <v>0</v>
      </c>
      <c r="N497" s="2">
        <v>0</v>
      </c>
      <c r="O497" s="2">
        <v>1.8</v>
      </c>
      <c r="P497" s="2">
        <v>0</v>
      </c>
      <c r="Q497" s="2">
        <v>0</v>
      </c>
      <c r="R497" s="2">
        <v>1.4</v>
      </c>
      <c r="S497" s="2">
        <v>0</v>
      </c>
      <c r="T497" s="2">
        <v>0</v>
      </c>
      <c r="U497" s="1">
        <f>COUNTIF(C497:T497,"&gt;"&amp;VLOOKUP(B497,MetaTable,3,FALSE))</f>
        <v>0</v>
      </c>
      <c r="V497">
        <v>10.199999999999999</v>
      </c>
      <c r="W497">
        <f t="shared" si="7"/>
        <v>2.5499999999999998</v>
      </c>
    </row>
    <row r="498" spans="1:23" x14ac:dyDescent="0.45">
      <c r="A498" s="1" t="s">
        <v>504</v>
      </c>
      <c r="B498" s="1" t="s">
        <v>343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1.1000000000000001</v>
      </c>
      <c r="R498" s="2">
        <v>1.1000000000000001</v>
      </c>
      <c r="S498" s="2">
        <v>2.1</v>
      </c>
      <c r="T498" s="2">
        <v>5.8000000000000007</v>
      </c>
      <c r="U498" s="1">
        <f>COUNTIF(C498:T498,"&gt;"&amp;VLOOKUP(B498,MetaTable,3,FALSE))</f>
        <v>0</v>
      </c>
      <c r="V498">
        <v>10.1</v>
      </c>
      <c r="W498">
        <f t="shared" si="7"/>
        <v>2.5249999999999999</v>
      </c>
    </row>
    <row r="499" spans="1:23" x14ac:dyDescent="0.45">
      <c r="A499" s="1" t="s">
        <v>505</v>
      </c>
      <c r="B499" s="1" t="s">
        <v>343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5.8</v>
      </c>
      <c r="P499" s="2">
        <v>1.7000000000000002</v>
      </c>
      <c r="Q499" s="2">
        <v>1.7000000000000002</v>
      </c>
      <c r="R499" s="2">
        <v>0</v>
      </c>
      <c r="S499" s="2">
        <v>0.8</v>
      </c>
      <c r="T499" s="2">
        <v>0</v>
      </c>
      <c r="U499" s="1">
        <f>COUNTIF(C499:T499,"&gt;"&amp;VLOOKUP(B499,MetaTable,3,FALSE))</f>
        <v>0</v>
      </c>
      <c r="V499">
        <v>10</v>
      </c>
      <c r="W499">
        <f t="shared" si="7"/>
        <v>3.3333333333333335</v>
      </c>
    </row>
    <row r="500" spans="1:23" x14ac:dyDescent="0.45">
      <c r="A500" s="1" t="s">
        <v>506</v>
      </c>
      <c r="B500" s="1" t="s">
        <v>343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3</v>
      </c>
      <c r="L500" s="2">
        <v>2.7</v>
      </c>
      <c r="M500" s="2">
        <v>2.2999999999999998</v>
      </c>
      <c r="N500" s="2">
        <v>0</v>
      </c>
      <c r="O500" s="2">
        <v>1.4</v>
      </c>
      <c r="P500" s="2">
        <v>0.6</v>
      </c>
      <c r="Q500" s="2">
        <v>0</v>
      </c>
      <c r="R500" s="2">
        <v>0</v>
      </c>
      <c r="S500" s="2">
        <v>0</v>
      </c>
      <c r="T500" s="2">
        <v>0</v>
      </c>
      <c r="U500" s="1">
        <f>COUNTIF(C500:T500,"&gt;"&amp;VLOOKUP(B500,MetaTable,3,FALSE))</f>
        <v>0</v>
      </c>
      <c r="V500">
        <v>10</v>
      </c>
      <c r="W500">
        <f t="shared" si="7"/>
        <v>2.5</v>
      </c>
    </row>
    <row r="501" spans="1:23" x14ac:dyDescent="0.45">
      <c r="A501" s="1" t="s">
        <v>507</v>
      </c>
      <c r="B501" s="1" t="s">
        <v>343</v>
      </c>
      <c r="C501" s="2">
        <v>1.1000000000000001</v>
      </c>
      <c r="D501" s="2">
        <v>4.7</v>
      </c>
      <c r="E501" s="2">
        <v>3.7</v>
      </c>
      <c r="F501" s="2">
        <v>0</v>
      </c>
      <c r="G501" s="2">
        <v>0</v>
      </c>
      <c r="H501" s="2">
        <v>0</v>
      </c>
      <c r="I501" s="2">
        <v>0</v>
      </c>
      <c r="J501" s="2">
        <v>1.2000000000000002</v>
      </c>
      <c r="K501" s="2">
        <v>0</v>
      </c>
      <c r="L501" s="2">
        <v>1</v>
      </c>
      <c r="M501" s="2">
        <v>0</v>
      </c>
      <c r="N501" s="2">
        <v>-2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1">
        <f>COUNTIF(C501:T501,"&gt;"&amp;VLOOKUP(B501,MetaTable,3,FALSE))</f>
        <v>0</v>
      </c>
      <c r="V501">
        <v>9.6999999999999993</v>
      </c>
      <c r="W501">
        <f t="shared" si="7"/>
        <v>2.4249999999999998</v>
      </c>
    </row>
    <row r="502" spans="1:23" x14ac:dyDescent="0.45">
      <c r="A502" s="1" t="s">
        <v>508</v>
      </c>
      <c r="B502" s="1" t="s">
        <v>343</v>
      </c>
      <c r="C502" s="2">
        <v>0</v>
      </c>
      <c r="D502" s="2">
        <v>0</v>
      </c>
      <c r="E502" s="2">
        <v>4.0999999999999996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5.3000000000000007</v>
      </c>
      <c r="Q502" s="2">
        <v>0</v>
      </c>
      <c r="R502" s="2">
        <v>0</v>
      </c>
      <c r="S502" s="2">
        <v>0</v>
      </c>
      <c r="T502" s="2">
        <v>0</v>
      </c>
      <c r="U502" s="1">
        <f>COUNTIF(C502:T502,"&gt;"&amp;VLOOKUP(B502,MetaTable,3,FALSE))</f>
        <v>0</v>
      </c>
      <c r="V502">
        <v>9.4</v>
      </c>
      <c r="W502">
        <f t="shared" si="7"/>
        <v>4.7</v>
      </c>
    </row>
    <row r="503" spans="1:23" x14ac:dyDescent="0.45">
      <c r="A503" s="1" t="s">
        <v>509</v>
      </c>
      <c r="B503" s="1" t="s">
        <v>343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0.9</v>
      </c>
      <c r="N503" s="2">
        <v>0</v>
      </c>
      <c r="O503" s="2">
        <v>2.8000000000000003</v>
      </c>
      <c r="P503" s="2">
        <v>0</v>
      </c>
      <c r="Q503" s="2">
        <v>2.2000000000000002</v>
      </c>
      <c r="R503" s="2">
        <v>3.5</v>
      </c>
      <c r="S503" s="2">
        <v>0</v>
      </c>
      <c r="T503" s="2">
        <v>0</v>
      </c>
      <c r="U503" s="1">
        <f>COUNTIF(C503:T503,"&gt;"&amp;VLOOKUP(B503,MetaTable,3,FALSE))</f>
        <v>0</v>
      </c>
      <c r="V503">
        <v>9.4</v>
      </c>
      <c r="W503">
        <f t="shared" si="7"/>
        <v>3.1333333333333333</v>
      </c>
    </row>
    <row r="504" spans="1:23" x14ac:dyDescent="0.45">
      <c r="A504" s="1" t="s">
        <v>510</v>
      </c>
      <c r="B504" s="1" t="s">
        <v>343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8.8000000000000007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1">
        <f>COUNTIF(C504:T504,"&gt;"&amp;VLOOKUP(B504,MetaTable,3,FALSE))</f>
        <v>0</v>
      </c>
      <c r="V504">
        <v>8.8000000000000007</v>
      </c>
      <c r="W504">
        <f t="shared" si="7"/>
        <v>8.8000000000000007</v>
      </c>
    </row>
    <row r="505" spans="1:23" x14ac:dyDescent="0.45">
      <c r="A505" s="1" t="s">
        <v>511</v>
      </c>
      <c r="B505" s="1" t="s">
        <v>343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6</v>
      </c>
      <c r="J505" s="2">
        <v>0</v>
      </c>
      <c r="K505" s="2">
        <v>0</v>
      </c>
      <c r="L505" s="2">
        <v>-2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4.7</v>
      </c>
      <c r="U505" s="1">
        <f>COUNTIF(C505:T505,"&gt;"&amp;VLOOKUP(B505,MetaTable,3,FALSE))</f>
        <v>0</v>
      </c>
      <c r="V505">
        <v>8.6999999999999993</v>
      </c>
      <c r="W505">
        <f t="shared" si="7"/>
        <v>4.3499999999999996</v>
      </c>
    </row>
    <row r="506" spans="1:23" x14ac:dyDescent="0.45">
      <c r="A506" s="1" t="s">
        <v>512</v>
      </c>
      <c r="B506" s="1" t="s">
        <v>343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8.6</v>
      </c>
      <c r="R506" s="2">
        <v>0</v>
      </c>
      <c r="S506" s="2">
        <v>0</v>
      </c>
      <c r="T506" s="2">
        <v>0</v>
      </c>
      <c r="U506" s="1">
        <f>COUNTIF(C506:T506,"&gt;"&amp;VLOOKUP(B506,MetaTable,3,FALSE))</f>
        <v>0</v>
      </c>
      <c r="V506">
        <v>8.6</v>
      </c>
      <c r="W506">
        <f t="shared" si="7"/>
        <v>8.6</v>
      </c>
    </row>
    <row r="507" spans="1:23" x14ac:dyDescent="0.45">
      <c r="A507" s="1" t="s">
        <v>513</v>
      </c>
      <c r="B507" s="1" t="s">
        <v>343</v>
      </c>
      <c r="C507" s="2">
        <v>0</v>
      </c>
      <c r="D507" s="2">
        <v>5.3000000000000007</v>
      </c>
      <c r="E507" s="2">
        <v>1.6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1">
        <f>COUNTIF(C507:T507,"&gt;"&amp;VLOOKUP(B507,MetaTable,3,FALSE))</f>
        <v>0</v>
      </c>
      <c r="V507">
        <v>6.9</v>
      </c>
      <c r="W507">
        <f t="shared" si="7"/>
        <v>3.45</v>
      </c>
    </row>
    <row r="508" spans="1:23" x14ac:dyDescent="0.45">
      <c r="A508" s="1" t="s">
        <v>514</v>
      </c>
      <c r="B508" s="1" t="s">
        <v>343</v>
      </c>
      <c r="C508" s="2">
        <v>3.7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3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1">
        <f>COUNTIF(C508:T508,"&gt;"&amp;VLOOKUP(B508,MetaTable,3,FALSE))</f>
        <v>0</v>
      </c>
      <c r="V508">
        <v>6.7</v>
      </c>
      <c r="W508">
        <f t="shared" si="7"/>
        <v>3.35</v>
      </c>
    </row>
    <row r="509" spans="1:23" x14ac:dyDescent="0.45">
      <c r="A509" s="1" t="s">
        <v>515</v>
      </c>
      <c r="B509" s="1" t="s">
        <v>343</v>
      </c>
      <c r="C509" s="2">
        <v>0</v>
      </c>
      <c r="D509" s="2">
        <v>0</v>
      </c>
      <c r="E509" s="2">
        <v>3.5</v>
      </c>
      <c r="F509" s="2">
        <v>0</v>
      </c>
      <c r="G509" s="2">
        <v>0</v>
      </c>
      <c r="H509" s="2">
        <v>0</v>
      </c>
      <c r="I509" s="2">
        <v>0</v>
      </c>
      <c r="J509" s="2">
        <v>1.1000000000000001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1.3</v>
      </c>
      <c r="T509" s="2">
        <v>0</v>
      </c>
      <c r="U509" s="1">
        <f>COUNTIF(C509:T509,"&gt;"&amp;VLOOKUP(B509,MetaTable,3,FALSE))</f>
        <v>0</v>
      </c>
      <c r="V509">
        <v>5.9</v>
      </c>
      <c r="W509">
        <f t="shared" si="7"/>
        <v>1.9666666666666668</v>
      </c>
    </row>
    <row r="510" spans="1:23" x14ac:dyDescent="0.45">
      <c r="A510" s="1" t="s">
        <v>516</v>
      </c>
      <c r="B510" s="1" t="s">
        <v>343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5.8000000000000007</v>
      </c>
      <c r="U510" s="1">
        <f>COUNTIF(C510:T510,"&gt;"&amp;VLOOKUP(B510,MetaTable,3,FALSE))</f>
        <v>0</v>
      </c>
      <c r="V510">
        <v>5.8</v>
      </c>
      <c r="W510">
        <f t="shared" si="7"/>
        <v>5.8</v>
      </c>
    </row>
    <row r="511" spans="1:23" x14ac:dyDescent="0.45">
      <c r="A511" s="1" t="s">
        <v>517</v>
      </c>
      <c r="B511" s="1" t="s">
        <v>343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1.1000000000000001</v>
      </c>
      <c r="Q511" s="2">
        <v>1.2000000000000002</v>
      </c>
      <c r="R511" s="2">
        <v>0</v>
      </c>
      <c r="S511" s="2">
        <v>3.3000000000000003</v>
      </c>
      <c r="T511" s="2">
        <v>0</v>
      </c>
      <c r="U511" s="1">
        <f>COUNTIF(C511:T511,"&gt;"&amp;VLOOKUP(B511,MetaTable,3,FALSE))</f>
        <v>0</v>
      </c>
      <c r="V511">
        <v>5.6</v>
      </c>
      <c r="W511">
        <f t="shared" si="7"/>
        <v>1.8666666666666665</v>
      </c>
    </row>
    <row r="512" spans="1:23" x14ac:dyDescent="0.45">
      <c r="A512" s="1" t="s">
        <v>518</v>
      </c>
      <c r="B512" s="1" t="s">
        <v>343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2.5</v>
      </c>
      <c r="K512" s="2">
        <v>1.5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1.6</v>
      </c>
      <c r="T512" s="2">
        <v>0</v>
      </c>
      <c r="U512" s="1">
        <f>COUNTIF(C512:T512,"&gt;"&amp;VLOOKUP(B512,MetaTable,3,FALSE))</f>
        <v>0</v>
      </c>
      <c r="V512">
        <v>5.6</v>
      </c>
      <c r="W512">
        <f t="shared" si="7"/>
        <v>1.8666666666666665</v>
      </c>
    </row>
    <row r="513" spans="1:23" x14ac:dyDescent="0.45">
      <c r="A513" s="1" t="s">
        <v>519</v>
      </c>
      <c r="B513" s="1" t="s">
        <v>343</v>
      </c>
      <c r="C513" s="2">
        <v>0.8</v>
      </c>
      <c r="D513" s="2">
        <v>0</v>
      </c>
      <c r="E513" s="2">
        <v>1.4</v>
      </c>
      <c r="F513" s="2">
        <v>1.8</v>
      </c>
      <c r="G513" s="2">
        <v>0</v>
      </c>
      <c r="H513" s="2">
        <v>1.5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1">
        <f>COUNTIF(C513:T513,"&gt;"&amp;VLOOKUP(B513,MetaTable,3,FALSE))</f>
        <v>0</v>
      </c>
      <c r="V513">
        <v>5.5</v>
      </c>
      <c r="W513">
        <f t="shared" si="7"/>
        <v>1.8333333333333333</v>
      </c>
    </row>
    <row r="514" spans="1:23" x14ac:dyDescent="0.45">
      <c r="A514" s="1" t="s">
        <v>520</v>
      </c>
      <c r="B514" s="1" t="s">
        <v>343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5.4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1">
        <f>COUNTIF(C514:T514,"&gt;"&amp;VLOOKUP(B514,MetaTable,3,FALSE))</f>
        <v>0</v>
      </c>
      <c r="V514">
        <v>5.4</v>
      </c>
      <c r="W514">
        <f t="shared" si="7"/>
        <v>5.4</v>
      </c>
    </row>
    <row r="515" spans="1:23" x14ac:dyDescent="0.45">
      <c r="A515" s="1" t="s">
        <v>521</v>
      </c>
      <c r="B515" s="1" t="s">
        <v>343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1.1000000000000001</v>
      </c>
      <c r="P515" s="2">
        <v>0</v>
      </c>
      <c r="Q515" s="2">
        <v>0</v>
      </c>
      <c r="R515" s="2">
        <v>2.8000000000000003</v>
      </c>
      <c r="S515" s="2">
        <v>1.3</v>
      </c>
      <c r="T515" s="2">
        <v>0</v>
      </c>
      <c r="U515" s="1">
        <f>COUNTIF(C515:T515,"&gt;"&amp;VLOOKUP(B515,MetaTable,3,FALSE))</f>
        <v>0</v>
      </c>
      <c r="V515">
        <v>5.2</v>
      </c>
      <c r="W515">
        <f t="shared" ref="W515:W553" si="8">V515/MAX(1,COUNTIF(C515:T515,"&gt;1"))</f>
        <v>1.7333333333333334</v>
      </c>
    </row>
    <row r="516" spans="1:23" x14ac:dyDescent="0.45">
      <c r="A516" s="1" t="s">
        <v>522</v>
      </c>
      <c r="B516" s="1" t="s">
        <v>343</v>
      </c>
      <c r="C516" s="2">
        <v>0</v>
      </c>
      <c r="D516" s="2">
        <v>0</v>
      </c>
      <c r="E516" s="2">
        <v>0</v>
      </c>
      <c r="F516" s="2">
        <v>0</v>
      </c>
      <c r="G516" s="2">
        <v>1.6</v>
      </c>
      <c r="H516" s="2">
        <v>0</v>
      </c>
      <c r="I516" s="2">
        <v>3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0.60000000000000009</v>
      </c>
      <c r="U516" s="1">
        <f>COUNTIF(C516:T516,"&gt;"&amp;VLOOKUP(B516,MetaTable,3,FALSE))</f>
        <v>0</v>
      </c>
      <c r="V516">
        <v>5.2</v>
      </c>
      <c r="W516">
        <f t="shared" si="8"/>
        <v>2.6</v>
      </c>
    </row>
    <row r="517" spans="1:23" x14ac:dyDescent="0.45">
      <c r="A517" s="1" t="s">
        <v>523</v>
      </c>
      <c r="B517" s="1" t="s">
        <v>343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-0.2</v>
      </c>
      <c r="L517" s="2">
        <v>0</v>
      </c>
      <c r="M517" s="2">
        <v>0</v>
      </c>
      <c r="N517" s="2">
        <v>2.8</v>
      </c>
      <c r="O517" s="2">
        <v>0</v>
      </c>
      <c r="P517" s="2">
        <v>1.2000000000000002</v>
      </c>
      <c r="Q517" s="2">
        <v>0</v>
      </c>
      <c r="R517" s="2">
        <v>0.9</v>
      </c>
      <c r="S517" s="2">
        <v>0</v>
      </c>
      <c r="T517" s="2">
        <v>0</v>
      </c>
      <c r="U517" s="1">
        <f>COUNTIF(C517:T517,"&gt;"&amp;VLOOKUP(B517,MetaTable,3,FALSE))</f>
        <v>0</v>
      </c>
      <c r="V517">
        <v>4.7</v>
      </c>
      <c r="W517">
        <f t="shared" si="8"/>
        <v>2.35</v>
      </c>
    </row>
    <row r="518" spans="1:23" x14ac:dyDescent="0.45">
      <c r="A518" s="1" t="s">
        <v>524</v>
      </c>
      <c r="B518" s="1" t="s">
        <v>343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4.5999999999999996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1">
        <f>COUNTIF(C518:T518,"&gt;"&amp;VLOOKUP(B518,MetaTable,3,FALSE))</f>
        <v>0</v>
      </c>
      <c r="V518">
        <v>4.5999999999999996</v>
      </c>
      <c r="W518">
        <f t="shared" si="8"/>
        <v>4.5999999999999996</v>
      </c>
    </row>
    <row r="519" spans="1:23" x14ac:dyDescent="0.45">
      <c r="A519" s="1" t="s">
        <v>525</v>
      </c>
      <c r="B519" s="1" t="s">
        <v>343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0.7</v>
      </c>
      <c r="L519" s="2">
        <v>0</v>
      </c>
      <c r="M519" s="2">
        <v>1.2000000000000002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2.6</v>
      </c>
      <c r="T519" s="2">
        <v>0</v>
      </c>
      <c r="U519" s="1">
        <f>COUNTIF(C519:T519,"&gt;"&amp;VLOOKUP(B519,MetaTable,3,FALSE))</f>
        <v>0</v>
      </c>
      <c r="V519">
        <v>4.5</v>
      </c>
      <c r="W519">
        <f t="shared" si="8"/>
        <v>2.25</v>
      </c>
    </row>
    <row r="520" spans="1:23" x14ac:dyDescent="0.45">
      <c r="A520" s="1" t="s">
        <v>526</v>
      </c>
      <c r="B520" s="1" t="s">
        <v>343</v>
      </c>
      <c r="C520" s="2">
        <v>0</v>
      </c>
      <c r="D520" s="2">
        <v>4.2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1">
        <f>COUNTIF(C520:T520,"&gt;"&amp;VLOOKUP(B520,MetaTable,3,FALSE))</f>
        <v>0</v>
      </c>
      <c r="V520">
        <v>4.2</v>
      </c>
      <c r="W520">
        <f t="shared" si="8"/>
        <v>4.2</v>
      </c>
    </row>
    <row r="521" spans="1:23" x14ac:dyDescent="0.45">
      <c r="A521" s="1" t="s">
        <v>527</v>
      </c>
      <c r="B521" s="1" t="s">
        <v>343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1.6</v>
      </c>
      <c r="N521" s="2">
        <v>0</v>
      </c>
      <c r="O521" s="2">
        <v>2.1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1">
        <f>COUNTIF(C521:T521,"&gt;"&amp;VLOOKUP(B521,MetaTable,3,FALSE))</f>
        <v>0</v>
      </c>
      <c r="V521">
        <v>3.7</v>
      </c>
      <c r="W521">
        <f t="shared" si="8"/>
        <v>1.85</v>
      </c>
    </row>
    <row r="522" spans="1:23" x14ac:dyDescent="0.45">
      <c r="A522" s="1" t="s">
        <v>528</v>
      </c>
      <c r="B522" s="1" t="s">
        <v>343</v>
      </c>
      <c r="C522" s="2">
        <v>0</v>
      </c>
      <c r="D522" s="2">
        <v>0.9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-0.19999999999999996</v>
      </c>
      <c r="L522" s="2">
        <v>0.7</v>
      </c>
      <c r="M522" s="2">
        <v>1.5</v>
      </c>
      <c r="N522" s="2">
        <v>0</v>
      </c>
      <c r="O522" s="2">
        <v>0.8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1">
        <f>COUNTIF(C522:T522,"&gt;"&amp;VLOOKUP(B522,MetaTable,3,FALSE))</f>
        <v>0</v>
      </c>
      <c r="V522">
        <v>3.7</v>
      </c>
      <c r="W522">
        <f t="shared" si="8"/>
        <v>3.7</v>
      </c>
    </row>
    <row r="523" spans="1:23" x14ac:dyDescent="0.45">
      <c r="A523" s="1" t="s">
        <v>529</v>
      </c>
      <c r="B523" s="1" t="s">
        <v>343</v>
      </c>
      <c r="C523" s="2">
        <v>0</v>
      </c>
      <c r="D523" s="2">
        <v>0</v>
      </c>
      <c r="E523" s="2">
        <v>1.7000000000000002</v>
      </c>
      <c r="F523" s="2">
        <v>0</v>
      </c>
      <c r="G523" s="2">
        <v>0</v>
      </c>
      <c r="H523" s="2">
        <v>0</v>
      </c>
      <c r="I523" s="2">
        <v>1.5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1">
        <f>COUNTIF(C523:T523,"&gt;"&amp;VLOOKUP(B523,MetaTable,3,FALSE))</f>
        <v>0</v>
      </c>
      <c r="V523">
        <v>3.2</v>
      </c>
      <c r="W523">
        <f t="shared" si="8"/>
        <v>1.6</v>
      </c>
    </row>
    <row r="524" spans="1:23" x14ac:dyDescent="0.45">
      <c r="A524" s="1" t="s">
        <v>530</v>
      </c>
      <c r="B524" s="1" t="s">
        <v>343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3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1">
        <f>COUNTIF(C524:T524,"&gt;"&amp;VLOOKUP(B524,MetaTable,3,FALSE))</f>
        <v>0</v>
      </c>
      <c r="V524">
        <v>3</v>
      </c>
      <c r="W524">
        <f t="shared" si="8"/>
        <v>3</v>
      </c>
    </row>
    <row r="525" spans="1:23" x14ac:dyDescent="0.45">
      <c r="A525" s="1" t="s">
        <v>531</v>
      </c>
      <c r="B525" s="1" t="s">
        <v>343</v>
      </c>
      <c r="C525" s="2">
        <v>1.1000000000000001</v>
      </c>
      <c r="D525" s="2">
        <v>1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0.9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1">
        <f>COUNTIF(C525:T525,"&gt;"&amp;VLOOKUP(B525,MetaTable,3,FALSE))</f>
        <v>0</v>
      </c>
      <c r="V525">
        <v>3</v>
      </c>
      <c r="W525">
        <f t="shared" si="8"/>
        <v>3</v>
      </c>
    </row>
    <row r="526" spans="1:23" x14ac:dyDescent="0.45">
      <c r="A526" s="1" t="s">
        <v>532</v>
      </c>
      <c r="B526" s="1" t="s">
        <v>343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2.8000000000000003</v>
      </c>
      <c r="R526" s="2">
        <v>0</v>
      </c>
      <c r="S526" s="2">
        <v>0</v>
      </c>
      <c r="T526" s="2">
        <v>0</v>
      </c>
      <c r="U526" s="1">
        <f>COUNTIF(C526:T526,"&gt;"&amp;VLOOKUP(B526,MetaTable,3,FALSE))</f>
        <v>0</v>
      </c>
      <c r="V526">
        <v>2.8</v>
      </c>
      <c r="W526">
        <f t="shared" si="8"/>
        <v>2.8</v>
      </c>
    </row>
    <row r="527" spans="1:23" x14ac:dyDescent="0.45">
      <c r="A527" s="1" t="s">
        <v>533</v>
      </c>
      <c r="B527" s="1" t="s">
        <v>343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1.6</v>
      </c>
      <c r="R527" s="2">
        <v>1.1000000000000001</v>
      </c>
      <c r="S527" s="2">
        <v>0</v>
      </c>
      <c r="T527" s="2">
        <v>0</v>
      </c>
      <c r="U527" s="1">
        <f>COUNTIF(C527:T527,"&gt;"&amp;VLOOKUP(B527,MetaTable,3,FALSE))</f>
        <v>0</v>
      </c>
      <c r="V527">
        <v>2.7</v>
      </c>
      <c r="W527">
        <f t="shared" si="8"/>
        <v>1.35</v>
      </c>
    </row>
    <row r="528" spans="1:23" x14ac:dyDescent="0.45">
      <c r="A528" s="1" t="s">
        <v>534</v>
      </c>
      <c r="B528" s="1" t="s">
        <v>343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2.2000000000000002</v>
      </c>
      <c r="S528" s="2">
        <v>0</v>
      </c>
      <c r="T528" s="2">
        <v>0</v>
      </c>
      <c r="U528" s="1">
        <f>COUNTIF(C528:T528,"&gt;"&amp;VLOOKUP(B528,MetaTable,3,FALSE))</f>
        <v>0</v>
      </c>
      <c r="V528">
        <v>2.2000000000000002</v>
      </c>
      <c r="W528">
        <f t="shared" si="8"/>
        <v>2.2000000000000002</v>
      </c>
    </row>
    <row r="529" spans="1:23" x14ac:dyDescent="0.45">
      <c r="A529" s="1" t="s">
        <v>535</v>
      </c>
      <c r="B529" s="1" t="s">
        <v>343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1</v>
      </c>
      <c r="I529" s="2">
        <v>0</v>
      </c>
      <c r="J529" s="2">
        <v>0</v>
      </c>
      <c r="K529" s="2">
        <v>0</v>
      </c>
      <c r="L529" s="2">
        <v>1.2000000000000002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1">
        <f>COUNTIF(C529:T529,"&gt;"&amp;VLOOKUP(B529,MetaTable,3,FALSE))</f>
        <v>0</v>
      </c>
      <c r="V529">
        <v>2.2000000000000002</v>
      </c>
      <c r="W529">
        <f t="shared" si="8"/>
        <v>2.2000000000000002</v>
      </c>
    </row>
    <row r="530" spans="1:23" x14ac:dyDescent="0.45">
      <c r="A530" s="1" t="s">
        <v>536</v>
      </c>
      <c r="B530" s="1" t="s">
        <v>343</v>
      </c>
      <c r="C530" s="2">
        <v>0.6</v>
      </c>
      <c r="D530" s="2">
        <v>1.1000000000000001</v>
      </c>
      <c r="E530" s="2">
        <v>0.7</v>
      </c>
      <c r="F530" s="2">
        <v>2.2999999999999998</v>
      </c>
      <c r="G530" s="2">
        <v>0</v>
      </c>
      <c r="H530" s="2">
        <v>-2</v>
      </c>
      <c r="I530" s="2">
        <v>0</v>
      </c>
      <c r="J530" s="2">
        <v>1.5</v>
      </c>
      <c r="K530" s="2">
        <v>0</v>
      </c>
      <c r="L530" s="2">
        <v>0</v>
      </c>
      <c r="M530" s="2">
        <v>0</v>
      </c>
      <c r="N530" s="2">
        <v>0</v>
      </c>
      <c r="O530" s="2">
        <v>-2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1">
        <f>COUNTIF(C530:T530,"&gt;"&amp;VLOOKUP(B530,MetaTable,3,FALSE))</f>
        <v>0</v>
      </c>
      <c r="V530">
        <v>2.2000000000000002</v>
      </c>
      <c r="W530">
        <f t="shared" si="8"/>
        <v>0.73333333333333339</v>
      </c>
    </row>
    <row r="531" spans="1:23" x14ac:dyDescent="0.45">
      <c r="A531" s="1" t="s">
        <v>537</v>
      </c>
      <c r="B531" s="1" t="s">
        <v>343</v>
      </c>
      <c r="C531" s="2">
        <v>0</v>
      </c>
      <c r="D531" s="2">
        <v>1.8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0.3</v>
      </c>
      <c r="R531" s="2">
        <v>0</v>
      </c>
      <c r="S531" s="2">
        <v>0</v>
      </c>
      <c r="T531" s="2">
        <v>0</v>
      </c>
      <c r="U531" s="1">
        <f>COUNTIF(C531:T531,"&gt;"&amp;VLOOKUP(B531,MetaTable,3,FALSE))</f>
        <v>0</v>
      </c>
      <c r="V531">
        <v>2.1</v>
      </c>
      <c r="W531">
        <f t="shared" si="8"/>
        <v>2.1</v>
      </c>
    </row>
    <row r="532" spans="1:23" x14ac:dyDescent="0.45">
      <c r="A532" s="1" t="s">
        <v>538</v>
      </c>
      <c r="B532" s="1" t="s">
        <v>343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2.1</v>
      </c>
      <c r="T532" s="2">
        <v>0</v>
      </c>
      <c r="U532" s="1">
        <f>COUNTIF(C532:T532,"&gt;"&amp;VLOOKUP(B532,MetaTable,3,FALSE))</f>
        <v>0</v>
      </c>
      <c r="V532">
        <v>2.1</v>
      </c>
      <c r="W532">
        <f t="shared" si="8"/>
        <v>2.1</v>
      </c>
    </row>
    <row r="533" spans="1:23" x14ac:dyDescent="0.45">
      <c r="A533" s="1" t="s">
        <v>539</v>
      </c>
      <c r="B533" s="1" t="s">
        <v>343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1.9000000000000001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1">
        <f>COUNTIF(C533:T533,"&gt;"&amp;VLOOKUP(B533,MetaTable,3,FALSE))</f>
        <v>0</v>
      </c>
      <c r="V533">
        <v>1.9</v>
      </c>
      <c r="W533">
        <f t="shared" si="8"/>
        <v>1.9</v>
      </c>
    </row>
    <row r="534" spans="1:23" x14ac:dyDescent="0.45">
      <c r="A534" s="1" t="s">
        <v>540</v>
      </c>
      <c r="B534" s="1" t="s">
        <v>343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1.7000000000000002</v>
      </c>
      <c r="U534" s="1">
        <f>COUNTIF(C534:T534,"&gt;"&amp;VLOOKUP(B534,MetaTable,3,FALSE))</f>
        <v>0</v>
      </c>
      <c r="V534">
        <v>1.7</v>
      </c>
      <c r="W534">
        <f t="shared" si="8"/>
        <v>1.7</v>
      </c>
    </row>
    <row r="535" spans="1:23" x14ac:dyDescent="0.45">
      <c r="A535" s="1" t="s">
        <v>541</v>
      </c>
      <c r="B535" s="1" t="s">
        <v>343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1.6</v>
      </c>
      <c r="U535" s="1">
        <f>COUNTIF(C535:T535,"&gt;"&amp;VLOOKUP(B535,MetaTable,3,FALSE))</f>
        <v>0</v>
      </c>
      <c r="V535">
        <v>1.6</v>
      </c>
      <c r="W535">
        <f t="shared" si="8"/>
        <v>1.6</v>
      </c>
    </row>
    <row r="536" spans="1:23" x14ac:dyDescent="0.45">
      <c r="A536" s="1" t="s">
        <v>542</v>
      </c>
      <c r="B536" s="1" t="s">
        <v>343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1.6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1">
        <f>COUNTIF(C536:T536,"&gt;"&amp;VLOOKUP(B536,MetaTable,3,FALSE))</f>
        <v>0</v>
      </c>
      <c r="V536">
        <v>1.6</v>
      </c>
      <c r="W536">
        <f t="shared" si="8"/>
        <v>1.6</v>
      </c>
    </row>
    <row r="537" spans="1:23" x14ac:dyDescent="0.45">
      <c r="A537" s="1" t="s">
        <v>543</v>
      </c>
      <c r="B537" s="1" t="s">
        <v>343</v>
      </c>
      <c r="C537" s="2">
        <v>0</v>
      </c>
      <c r="D537" s="2">
        <v>0</v>
      </c>
      <c r="E537" s="2">
        <v>0</v>
      </c>
      <c r="F537" s="2">
        <v>0.8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2.8</v>
      </c>
      <c r="Q537" s="2">
        <v>-2</v>
      </c>
      <c r="R537" s="2">
        <v>0</v>
      </c>
      <c r="S537" s="2">
        <v>0</v>
      </c>
      <c r="T537" s="2">
        <v>0</v>
      </c>
      <c r="U537" s="1">
        <f>COUNTIF(C537:T537,"&gt;"&amp;VLOOKUP(B537,MetaTable,3,FALSE))</f>
        <v>0</v>
      </c>
      <c r="V537">
        <v>1.6</v>
      </c>
      <c r="W537">
        <f t="shared" si="8"/>
        <v>1.6</v>
      </c>
    </row>
    <row r="538" spans="1:23" x14ac:dyDescent="0.45">
      <c r="A538" s="1" t="s">
        <v>544</v>
      </c>
      <c r="B538" s="1" t="s">
        <v>343</v>
      </c>
      <c r="C538" s="2">
        <v>0</v>
      </c>
      <c r="D538" s="2">
        <v>0</v>
      </c>
      <c r="E538" s="2">
        <v>0</v>
      </c>
      <c r="F538" s="2">
        <v>0</v>
      </c>
      <c r="G538" s="2">
        <v>1.4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1">
        <f>COUNTIF(C538:T538,"&gt;"&amp;VLOOKUP(B538,MetaTable,3,FALSE))</f>
        <v>0</v>
      </c>
      <c r="V538">
        <v>1.4</v>
      </c>
      <c r="W538">
        <f t="shared" si="8"/>
        <v>1.4</v>
      </c>
    </row>
    <row r="539" spans="1:23" x14ac:dyDescent="0.45">
      <c r="A539" s="1" t="s">
        <v>545</v>
      </c>
      <c r="B539" s="1" t="s">
        <v>343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1.4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1">
        <f>COUNTIF(C539:T539,"&gt;"&amp;VLOOKUP(B539,MetaTable,3,FALSE))</f>
        <v>0</v>
      </c>
      <c r="V539">
        <v>1.4</v>
      </c>
      <c r="W539">
        <f t="shared" si="8"/>
        <v>1.4</v>
      </c>
    </row>
    <row r="540" spans="1:23" x14ac:dyDescent="0.45">
      <c r="A540" s="1" t="s">
        <v>546</v>
      </c>
      <c r="B540" s="1" t="s">
        <v>343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1.2000000000000002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1">
        <f>COUNTIF(C540:T540,"&gt;"&amp;VLOOKUP(B540,MetaTable,3,FALSE))</f>
        <v>0</v>
      </c>
      <c r="V540">
        <v>1.2</v>
      </c>
      <c r="W540">
        <f t="shared" si="8"/>
        <v>1.2</v>
      </c>
    </row>
    <row r="541" spans="1:23" x14ac:dyDescent="0.45">
      <c r="A541" s="1" t="s">
        <v>547</v>
      </c>
      <c r="B541" s="1" t="s">
        <v>343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1.1000000000000001</v>
      </c>
      <c r="T541" s="2">
        <v>0</v>
      </c>
      <c r="U541" s="1">
        <f>COUNTIF(C541:T541,"&gt;"&amp;VLOOKUP(B541,MetaTable,3,FALSE))</f>
        <v>0</v>
      </c>
      <c r="V541">
        <v>1.1000000000000001</v>
      </c>
      <c r="W541">
        <f t="shared" si="8"/>
        <v>1.1000000000000001</v>
      </c>
    </row>
    <row r="542" spans="1:23" x14ac:dyDescent="0.45">
      <c r="A542" s="1" t="s">
        <v>548</v>
      </c>
      <c r="B542" s="1" t="s">
        <v>343</v>
      </c>
      <c r="C542" s="2">
        <v>0</v>
      </c>
      <c r="D542" s="2">
        <v>0</v>
      </c>
      <c r="E542" s="2">
        <v>0</v>
      </c>
      <c r="F542" s="2">
        <v>1.1000000000000001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1">
        <f>COUNTIF(C542:T542,"&gt;"&amp;VLOOKUP(B542,MetaTable,3,FALSE))</f>
        <v>0</v>
      </c>
      <c r="V542">
        <v>1.1000000000000001</v>
      </c>
      <c r="W542">
        <f t="shared" si="8"/>
        <v>1.1000000000000001</v>
      </c>
    </row>
    <row r="543" spans="1:23" x14ac:dyDescent="0.45">
      <c r="A543" s="1" t="s">
        <v>549</v>
      </c>
      <c r="B543" s="1" t="s">
        <v>343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1.1000000000000001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1">
        <f>COUNTIF(C543:T543,"&gt;"&amp;VLOOKUP(B543,MetaTable,3,FALSE))</f>
        <v>0</v>
      </c>
      <c r="V543">
        <v>1.1000000000000001</v>
      </c>
      <c r="W543">
        <f t="shared" si="8"/>
        <v>1.1000000000000001</v>
      </c>
    </row>
    <row r="544" spans="1:23" x14ac:dyDescent="0.45">
      <c r="A544" s="1" t="s">
        <v>550</v>
      </c>
      <c r="B544" s="1" t="s">
        <v>343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1.1000000000000001</v>
      </c>
      <c r="Q544" s="2">
        <v>0</v>
      </c>
      <c r="R544" s="2">
        <v>0</v>
      </c>
      <c r="S544" s="2">
        <v>0</v>
      </c>
      <c r="T544" s="2">
        <v>0</v>
      </c>
      <c r="U544" s="1">
        <f>COUNTIF(C544:T544,"&gt;"&amp;VLOOKUP(B544,MetaTable,3,FALSE))</f>
        <v>0</v>
      </c>
      <c r="V544">
        <v>1.1000000000000001</v>
      </c>
      <c r="W544">
        <f t="shared" si="8"/>
        <v>1.1000000000000001</v>
      </c>
    </row>
    <row r="545" spans="1:23" x14ac:dyDescent="0.45">
      <c r="A545" s="1" t="s">
        <v>551</v>
      </c>
      <c r="B545" s="1" t="s">
        <v>343</v>
      </c>
      <c r="C545" s="2">
        <v>0</v>
      </c>
      <c r="D545" s="2">
        <v>0</v>
      </c>
      <c r="E545" s="2">
        <v>0</v>
      </c>
      <c r="F545" s="2">
        <v>1.1000000000000001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1">
        <f>COUNTIF(C545:T545,"&gt;"&amp;VLOOKUP(B545,MetaTable,3,FALSE))</f>
        <v>0</v>
      </c>
      <c r="V545">
        <v>1.1000000000000001</v>
      </c>
      <c r="W545">
        <f t="shared" si="8"/>
        <v>1.1000000000000001</v>
      </c>
    </row>
    <row r="546" spans="1:23" x14ac:dyDescent="0.45">
      <c r="A546" s="1" t="s">
        <v>552</v>
      </c>
      <c r="B546" s="1" t="s">
        <v>343</v>
      </c>
      <c r="C546" s="2">
        <v>0</v>
      </c>
      <c r="D546" s="2">
        <v>1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1">
        <f>COUNTIF(C546:T546,"&gt;"&amp;VLOOKUP(B546,MetaTable,3,FALSE))</f>
        <v>0</v>
      </c>
      <c r="V546">
        <v>1</v>
      </c>
      <c r="W546">
        <f t="shared" si="8"/>
        <v>1</v>
      </c>
    </row>
    <row r="547" spans="1:23" x14ac:dyDescent="0.45">
      <c r="A547" s="1" t="s">
        <v>553</v>
      </c>
      <c r="B547" s="1" t="s">
        <v>343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1</v>
      </c>
      <c r="R547" s="2">
        <v>0</v>
      </c>
      <c r="S547" s="2">
        <v>0</v>
      </c>
      <c r="T547" s="2">
        <v>0</v>
      </c>
      <c r="U547" s="1">
        <f>COUNTIF(C547:T547,"&gt;"&amp;VLOOKUP(B547,MetaTable,3,FALSE))</f>
        <v>0</v>
      </c>
      <c r="V547">
        <v>1</v>
      </c>
      <c r="W547">
        <f t="shared" si="8"/>
        <v>1</v>
      </c>
    </row>
    <row r="548" spans="1:23" x14ac:dyDescent="0.45">
      <c r="A548" s="1" t="s">
        <v>554</v>
      </c>
      <c r="B548" s="1" t="s">
        <v>343</v>
      </c>
      <c r="C548" s="2">
        <v>0</v>
      </c>
      <c r="D548" s="2">
        <v>0</v>
      </c>
      <c r="E548" s="2">
        <v>0</v>
      </c>
      <c r="F548" s="2">
        <v>0</v>
      </c>
      <c r="G548" s="2">
        <v>0.3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1">
        <f>COUNTIF(C548:T548,"&gt;"&amp;VLOOKUP(B548,MetaTable,3,FALSE))</f>
        <v>0</v>
      </c>
      <c r="V548">
        <v>0.3</v>
      </c>
      <c r="W548">
        <f t="shared" si="8"/>
        <v>0.3</v>
      </c>
    </row>
    <row r="549" spans="1:23" x14ac:dyDescent="0.45">
      <c r="A549" s="1" t="s">
        <v>555</v>
      </c>
      <c r="B549" s="1" t="s">
        <v>343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-0.1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1">
        <f>COUNTIF(C549:T549,"&gt;"&amp;VLOOKUP(B549,MetaTable,3,FALSE))</f>
        <v>0</v>
      </c>
      <c r="V549">
        <v>-0.1</v>
      </c>
      <c r="W549">
        <f t="shared" si="8"/>
        <v>-0.1</v>
      </c>
    </row>
    <row r="550" spans="1:23" x14ac:dyDescent="0.45">
      <c r="A550" s="1" t="s">
        <v>556</v>
      </c>
      <c r="B550" s="1" t="s">
        <v>343</v>
      </c>
      <c r="C550" s="2">
        <v>-1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1">
        <f>COUNTIF(C550:T550,"&gt;"&amp;VLOOKUP(B550,MetaTable,3,FALSE))</f>
        <v>0</v>
      </c>
      <c r="V550">
        <v>-1</v>
      </c>
      <c r="W550">
        <f t="shared" si="8"/>
        <v>-1</v>
      </c>
    </row>
    <row r="551" spans="1:23" x14ac:dyDescent="0.45">
      <c r="A551" s="1" t="s">
        <v>557</v>
      </c>
      <c r="B551" s="1" t="s">
        <v>343</v>
      </c>
      <c r="C551" s="2">
        <v>0</v>
      </c>
      <c r="D551" s="2">
        <v>0</v>
      </c>
      <c r="E551" s="2">
        <v>0</v>
      </c>
      <c r="F551" s="2">
        <v>-2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1">
        <f>COUNTIF(C551:T551,"&gt;"&amp;VLOOKUP(B551,MetaTable,3,FALSE))</f>
        <v>0</v>
      </c>
      <c r="V551">
        <v>-2</v>
      </c>
      <c r="W551">
        <f t="shared" si="8"/>
        <v>-2</v>
      </c>
    </row>
    <row r="552" spans="1:23" x14ac:dyDescent="0.45">
      <c r="A552" s="1" t="s">
        <v>558</v>
      </c>
      <c r="B552" s="1" t="s">
        <v>343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-0.70000000000000007</v>
      </c>
      <c r="N552" s="2">
        <v>0</v>
      </c>
      <c r="O552" s="2">
        <v>0.30000000000000004</v>
      </c>
      <c r="P552" s="2">
        <v>-2</v>
      </c>
      <c r="Q552" s="2">
        <v>0</v>
      </c>
      <c r="R552" s="2">
        <v>0</v>
      </c>
      <c r="S552" s="2">
        <v>0</v>
      </c>
      <c r="T552" s="2">
        <v>0</v>
      </c>
      <c r="U552" s="1">
        <f>COUNTIF(C552:T552,"&gt;"&amp;VLOOKUP(B552,MetaTable,3,FALSE))</f>
        <v>0</v>
      </c>
      <c r="V552">
        <v>-2.4</v>
      </c>
      <c r="W552">
        <f t="shared" si="8"/>
        <v>-2.4</v>
      </c>
    </row>
    <row r="553" spans="1:23" x14ac:dyDescent="0.45">
      <c r="A553" s="1" t="s">
        <v>559</v>
      </c>
      <c r="B553" s="1" t="s">
        <v>343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0.8</v>
      </c>
      <c r="L553" s="2">
        <v>0</v>
      </c>
      <c r="M553" s="2">
        <v>0</v>
      </c>
      <c r="N553" s="2">
        <v>-2</v>
      </c>
      <c r="O553" s="2">
        <v>-2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1">
        <f>COUNTIF(C553:T553,"&gt;"&amp;VLOOKUP(B553,MetaTable,3,FALSE))</f>
        <v>0</v>
      </c>
      <c r="V553">
        <v>-3.2</v>
      </c>
      <c r="W553">
        <f t="shared" si="8"/>
        <v>-3.2</v>
      </c>
    </row>
  </sheetData>
  <conditionalFormatting sqref="C2:T553">
    <cfRule type="colorScale" priority="1">
      <colorScale>
        <cfvo type="min"/>
        <cfvo type="percent" val="50"/>
        <cfvo type="max"/>
        <color rgb="FFF9CB9C"/>
        <color rgb="FF93C47D"/>
        <color rgb="FF6FA8DC"/>
      </colorScale>
    </cfRule>
    <cfRule type="colorScale" priority="12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D2:D553 P2:P553">
    <cfRule type="colorScale" priority="2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E2:E553 Q2:Q553">
    <cfRule type="colorScale" priority="3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F2:F553 R2:R553">
    <cfRule type="colorScale" priority="4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G2:G553 S2:S553">
    <cfRule type="colorScale" priority="5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H2:H553 T2:T553">
    <cfRule type="colorScale" priority="6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I2:I553">
    <cfRule type="colorScale" priority="7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J2:J553">
    <cfRule type="colorScale" priority="8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K2:K553">
    <cfRule type="colorScale" priority="9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L2:L553">
    <cfRule type="colorScale" priority="10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M2:M553">
    <cfRule type="colorScale" priority="11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O2:O553">
    <cfRule type="colorScale" priority="13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P2:P553">
    <cfRule type="colorScale" priority="14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Q2:Q553">
    <cfRule type="colorScale" priority="15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R2:R553">
    <cfRule type="colorScale" priority="16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S2:S553">
    <cfRule type="colorScale" priority="17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T2:T553">
    <cfRule type="colorScale" priority="18">
      <colorScale>
        <cfvo type="min"/>
        <cfvo type="percent" val="50"/>
        <cfvo type="max"/>
        <color rgb="FFF9CB9C"/>
        <color rgb="FF93C47D"/>
        <color rgb="FF6FA8DC"/>
      </colorScale>
    </cfRule>
  </conditionalFormatting>
  <conditionalFormatting sqref="U1:U553">
    <cfRule type="colorScale" priority="19">
      <colorScale>
        <cfvo type="min"/>
        <cfvo type="formula" val="2"/>
        <cfvo type="max"/>
        <color rgb="FFFFFFFF"/>
        <color rgb="FFFFFFFF"/>
        <color rgb="FF6AA84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ABEF-0895-4E0B-8E66-04C79E0EA558}">
  <dimension ref="A1:D5"/>
  <sheetViews>
    <sheetView workbookViewId="0">
      <selection activeCell="C3" sqref="C3"/>
    </sheetView>
  </sheetViews>
  <sheetFormatPr defaultRowHeight="14.25" x14ac:dyDescent="0.45"/>
  <cols>
    <col min="2" max="3" width="10.19921875" bestFit="1" customWidth="1"/>
    <col min="4" max="4" width="15.6640625" bestFit="1" customWidth="1"/>
  </cols>
  <sheetData>
    <row r="1" spans="1:4" x14ac:dyDescent="0.45">
      <c r="A1" t="s">
        <v>561</v>
      </c>
      <c r="B1" t="s">
        <v>563</v>
      </c>
      <c r="C1" t="s">
        <v>562</v>
      </c>
      <c r="D1" t="s">
        <v>565</v>
      </c>
    </row>
    <row r="2" spans="1:4" x14ac:dyDescent="0.45">
      <c r="A2" t="s">
        <v>5</v>
      </c>
      <c r="B2">
        <f>AVERAGEIF(T_Pos,A2,T_Avg_PPG)</f>
        <v>11.619676580625672</v>
      </c>
      <c r="C2">
        <v>17</v>
      </c>
      <c r="D2">
        <f>COUNTIFS(T_Pos,A2,T_Performances,"&gt;9")</f>
        <v>8</v>
      </c>
    </row>
    <row r="3" spans="1:4" x14ac:dyDescent="0.45">
      <c r="A3" t="s">
        <v>84</v>
      </c>
      <c r="B3">
        <f>AVERAGEIF(T_Pos,A3,T_Avg_PPG)</f>
        <v>6.7895418094862743</v>
      </c>
      <c r="C3">
        <v>10</v>
      </c>
      <c r="D3">
        <f>COUNTIFS(T_Pos,A3,T_Performances,"&gt;9")</f>
        <v>17</v>
      </c>
    </row>
    <row r="4" spans="1:4" x14ac:dyDescent="0.45">
      <c r="A4" t="s">
        <v>343</v>
      </c>
      <c r="B4">
        <f>AVERAGEIF(T_Pos,A4,T_Avg_PPG)</f>
        <v>6.3859844381169166</v>
      </c>
      <c r="C4">
        <v>10</v>
      </c>
      <c r="D4">
        <f>COUNTIFS(T_Pos,A4,T_Performances,"&gt;9")</f>
        <v>10</v>
      </c>
    </row>
    <row r="5" spans="1:4" x14ac:dyDescent="0.45">
      <c r="A5" t="s">
        <v>228</v>
      </c>
      <c r="B5">
        <f>AVERAGEIF(T_Pos,A5,T_Avg_PPG)</f>
        <v>4.8495391560910175</v>
      </c>
      <c r="C5">
        <v>8</v>
      </c>
      <c r="D5">
        <f>COUNTIFS(T_Pos,A5,T_Performances,"&gt;9")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3D6A-1C84-406C-82A4-77FAD50F7E0D}">
  <dimension ref="A1:J161"/>
  <sheetViews>
    <sheetView workbookViewId="0">
      <selection sqref="A1:J1"/>
    </sheetView>
  </sheetViews>
  <sheetFormatPr defaultRowHeight="14.25" x14ac:dyDescent="0.45"/>
  <cols>
    <col min="1" max="1" width="18.46484375" bestFit="1" customWidth="1"/>
    <col min="2" max="10" width="8.6640625" customWidth="1"/>
  </cols>
  <sheetData>
    <row r="1" spans="1:10" x14ac:dyDescent="0.45">
      <c r="A1" t="s">
        <v>0</v>
      </c>
      <c r="B1" t="s">
        <v>566</v>
      </c>
      <c r="C1" t="s">
        <v>567</v>
      </c>
      <c r="D1" t="s">
        <v>568</v>
      </c>
      <c r="E1" t="s">
        <v>569</v>
      </c>
      <c r="F1" t="s">
        <v>570</v>
      </c>
      <c r="G1" t="s">
        <v>571</v>
      </c>
      <c r="H1" t="s">
        <v>572</v>
      </c>
      <c r="I1" t="s">
        <v>573</v>
      </c>
      <c r="J1" t="s">
        <v>574</v>
      </c>
    </row>
    <row r="2" spans="1:10" x14ac:dyDescent="0.45">
      <c r="A2" t="s">
        <v>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45">
      <c r="A3" t="s">
        <v>8</v>
      </c>
      <c r="B3">
        <v>2</v>
      </c>
      <c r="C3">
        <v>2</v>
      </c>
      <c r="D3">
        <v>2</v>
      </c>
      <c r="E3">
        <v>3</v>
      </c>
      <c r="F3">
        <v>2</v>
      </c>
      <c r="G3">
        <v>2</v>
      </c>
      <c r="H3">
        <v>2</v>
      </c>
      <c r="I3">
        <v>2</v>
      </c>
      <c r="J3">
        <v>2.1</v>
      </c>
    </row>
    <row r="4" spans="1:10" x14ac:dyDescent="0.45">
      <c r="A4" t="s">
        <v>4</v>
      </c>
      <c r="B4">
        <v>3</v>
      </c>
      <c r="C4">
        <v>3</v>
      </c>
      <c r="D4">
        <v>4</v>
      </c>
      <c r="E4">
        <v>4</v>
      </c>
      <c r="F4">
        <v>4</v>
      </c>
      <c r="G4">
        <v>3</v>
      </c>
      <c r="H4">
        <v>3</v>
      </c>
      <c r="I4">
        <v>5</v>
      </c>
      <c r="J4">
        <v>3.6</v>
      </c>
    </row>
    <row r="5" spans="1:10" x14ac:dyDescent="0.45">
      <c r="A5" t="s">
        <v>15</v>
      </c>
      <c r="B5">
        <v>4</v>
      </c>
      <c r="C5">
        <v>4</v>
      </c>
      <c r="D5">
        <v>3</v>
      </c>
      <c r="E5">
        <v>2</v>
      </c>
      <c r="F5">
        <v>3</v>
      </c>
      <c r="G5">
        <v>5</v>
      </c>
      <c r="H5">
        <v>5</v>
      </c>
      <c r="I5">
        <v>4</v>
      </c>
      <c r="J5">
        <v>3.8</v>
      </c>
    </row>
    <row r="6" spans="1:10" x14ac:dyDescent="0.45">
      <c r="A6" t="s">
        <v>30</v>
      </c>
      <c r="B6">
        <v>6</v>
      </c>
      <c r="C6">
        <v>5</v>
      </c>
      <c r="D6">
        <v>7</v>
      </c>
      <c r="E6">
        <v>5</v>
      </c>
      <c r="F6">
        <v>9</v>
      </c>
      <c r="G6">
        <v>4</v>
      </c>
      <c r="H6">
        <v>4</v>
      </c>
      <c r="I6">
        <v>3</v>
      </c>
      <c r="J6">
        <v>5.4</v>
      </c>
    </row>
    <row r="7" spans="1:10" x14ac:dyDescent="0.45">
      <c r="A7" t="s">
        <v>23</v>
      </c>
      <c r="B7">
        <v>7</v>
      </c>
      <c r="C7">
        <v>6</v>
      </c>
      <c r="D7">
        <v>5</v>
      </c>
      <c r="E7">
        <v>6</v>
      </c>
      <c r="F7">
        <v>5</v>
      </c>
      <c r="G7">
        <v>6</v>
      </c>
      <c r="H7">
        <v>6</v>
      </c>
      <c r="I7">
        <v>7</v>
      </c>
      <c r="J7">
        <v>6</v>
      </c>
    </row>
    <row r="8" spans="1:10" x14ac:dyDescent="0.45">
      <c r="A8" t="s">
        <v>7</v>
      </c>
      <c r="B8">
        <v>5</v>
      </c>
      <c r="C8">
        <v>7</v>
      </c>
      <c r="D8">
        <v>6</v>
      </c>
      <c r="E8">
        <v>9</v>
      </c>
      <c r="F8">
        <v>6</v>
      </c>
      <c r="G8">
        <v>7</v>
      </c>
      <c r="H8">
        <v>9</v>
      </c>
      <c r="I8">
        <v>6</v>
      </c>
      <c r="J8">
        <v>6.9</v>
      </c>
    </row>
    <row r="9" spans="1:10" x14ac:dyDescent="0.45">
      <c r="A9" t="s">
        <v>37</v>
      </c>
      <c r="B9">
        <v>8</v>
      </c>
      <c r="C9">
        <v>8</v>
      </c>
      <c r="D9">
        <v>8</v>
      </c>
      <c r="E9">
        <v>7</v>
      </c>
      <c r="F9">
        <v>7</v>
      </c>
      <c r="G9">
        <v>8</v>
      </c>
      <c r="H9">
        <v>8</v>
      </c>
      <c r="I9">
        <v>8</v>
      </c>
      <c r="J9">
        <v>7.8</v>
      </c>
    </row>
    <row r="10" spans="1:10" x14ac:dyDescent="0.45">
      <c r="A10" t="s">
        <v>14</v>
      </c>
      <c r="B10">
        <v>9</v>
      </c>
      <c r="C10">
        <v>9</v>
      </c>
      <c r="D10">
        <v>10</v>
      </c>
      <c r="E10">
        <v>8</v>
      </c>
      <c r="F10">
        <v>10</v>
      </c>
      <c r="G10">
        <v>9</v>
      </c>
      <c r="H10">
        <v>7</v>
      </c>
      <c r="I10">
        <v>11</v>
      </c>
      <c r="J10">
        <v>9.1</v>
      </c>
    </row>
    <row r="11" spans="1:10" x14ac:dyDescent="0.45">
      <c r="A11" t="s">
        <v>20</v>
      </c>
      <c r="B11">
        <v>10</v>
      </c>
      <c r="C11">
        <v>10</v>
      </c>
      <c r="D11">
        <v>9</v>
      </c>
      <c r="E11">
        <v>10</v>
      </c>
      <c r="F11">
        <v>8</v>
      </c>
      <c r="G11">
        <v>10</v>
      </c>
      <c r="H11">
        <v>11</v>
      </c>
      <c r="I11">
        <v>9</v>
      </c>
      <c r="J11">
        <v>9.6</v>
      </c>
    </row>
    <row r="12" spans="1:10" x14ac:dyDescent="0.45">
      <c r="A12" t="s">
        <v>16</v>
      </c>
      <c r="B12">
        <v>11</v>
      </c>
      <c r="C12">
        <v>11</v>
      </c>
      <c r="D12">
        <v>11</v>
      </c>
      <c r="E12">
        <v>11</v>
      </c>
      <c r="F12">
        <v>11</v>
      </c>
      <c r="G12">
        <v>11</v>
      </c>
      <c r="H12">
        <v>10</v>
      </c>
      <c r="I12">
        <v>10</v>
      </c>
      <c r="J12">
        <v>10.8</v>
      </c>
    </row>
    <row r="13" spans="1:10" x14ac:dyDescent="0.45">
      <c r="A13" t="s">
        <v>10</v>
      </c>
      <c r="B13">
        <v>13</v>
      </c>
      <c r="C13">
        <v>12</v>
      </c>
      <c r="D13">
        <v>14</v>
      </c>
      <c r="E13">
        <v>12</v>
      </c>
      <c r="F13">
        <v>12</v>
      </c>
      <c r="G13">
        <v>12</v>
      </c>
      <c r="H13">
        <v>12</v>
      </c>
      <c r="I13">
        <v>12</v>
      </c>
      <c r="J13">
        <v>12.4</v>
      </c>
    </row>
    <row r="14" spans="1:10" x14ac:dyDescent="0.45">
      <c r="A14" t="s">
        <v>21</v>
      </c>
      <c r="B14">
        <v>12</v>
      </c>
      <c r="C14">
        <v>16</v>
      </c>
      <c r="D14">
        <v>18</v>
      </c>
      <c r="E14">
        <v>15</v>
      </c>
      <c r="F14">
        <v>13</v>
      </c>
      <c r="G14">
        <v>14</v>
      </c>
      <c r="H14">
        <v>13</v>
      </c>
      <c r="I14">
        <v>13</v>
      </c>
      <c r="J14">
        <v>14.3</v>
      </c>
    </row>
    <row r="15" spans="1:10" x14ac:dyDescent="0.45">
      <c r="A15" t="s">
        <v>18</v>
      </c>
      <c r="B15">
        <v>15</v>
      </c>
      <c r="C15">
        <v>13</v>
      </c>
      <c r="D15">
        <v>15</v>
      </c>
      <c r="E15">
        <v>13</v>
      </c>
      <c r="F15">
        <v>15</v>
      </c>
      <c r="G15">
        <v>13</v>
      </c>
      <c r="H15">
        <v>21</v>
      </c>
      <c r="I15">
        <v>14</v>
      </c>
      <c r="J15">
        <v>14.9</v>
      </c>
    </row>
    <row r="16" spans="1:10" x14ac:dyDescent="0.45">
      <c r="A16" t="s">
        <v>19</v>
      </c>
      <c r="B16">
        <v>14</v>
      </c>
      <c r="C16">
        <v>14</v>
      </c>
      <c r="D16">
        <v>12</v>
      </c>
      <c r="E16">
        <v>14</v>
      </c>
      <c r="F16">
        <v>20</v>
      </c>
      <c r="G16">
        <v>17</v>
      </c>
      <c r="H16">
        <v>17</v>
      </c>
      <c r="I16">
        <v>17</v>
      </c>
      <c r="J16">
        <v>15.6</v>
      </c>
    </row>
    <row r="17" spans="1:10" x14ac:dyDescent="0.45">
      <c r="A17" t="s">
        <v>29</v>
      </c>
      <c r="B17">
        <v>16</v>
      </c>
      <c r="C17">
        <v>15</v>
      </c>
      <c r="D17">
        <v>16</v>
      </c>
      <c r="E17">
        <v>16</v>
      </c>
      <c r="F17">
        <v>16</v>
      </c>
      <c r="G17">
        <v>15</v>
      </c>
      <c r="H17">
        <v>19</v>
      </c>
      <c r="I17">
        <v>16</v>
      </c>
      <c r="J17">
        <v>16.100000000000001</v>
      </c>
    </row>
    <row r="18" spans="1:10" x14ac:dyDescent="0.45">
      <c r="A18" t="s">
        <v>25</v>
      </c>
      <c r="B18">
        <v>18</v>
      </c>
      <c r="C18">
        <v>19</v>
      </c>
      <c r="D18">
        <v>13</v>
      </c>
      <c r="E18">
        <v>19</v>
      </c>
      <c r="F18">
        <v>17</v>
      </c>
      <c r="G18">
        <v>18</v>
      </c>
      <c r="H18">
        <v>14</v>
      </c>
      <c r="I18">
        <v>15</v>
      </c>
      <c r="J18">
        <v>16.600000000000001</v>
      </c>
    </row>
    <row r="19" spans="1:10" x14ac:dyDescent="0.45">
      <c r="A19" t="s">
        <v>28</v>
      </c>
      <c r="B19">
        <v>17</v>
      </c>
      <c r="C19">
        <v>18</v>
      </c>
      <c r="D19">
        <v>19</v>
      </c>
      <c r="E19">
        <v>17</v>
      </c>
      <c r="F19">
        <v>14</v>
      </c>
      <c r="G19">
        <v>16</v>
      </c>
      <c r="H19">
        <v>18</v>
      </c>
      <c r="I19">
        <v>18</v>
      </c>
      <c r="J19">
        <v>17.100000000000001</v>
      </c>
    </row>
    <row r="20" spans="1:10" x14ac:dyDescent="0.45">
      <c r="A20" t="s">
        <v>13</v>
      </c>
      <c r="B20">
        <v>21</v>
      </c>
      <c r="C20">
        <v>20</v>
      </c>
      <c r="D20">
        <v>20</v>
      </c>
      <c r="E20">
        <v>18</v>
      </c>
      <c r="F20">
        <v>18</v>
      </c>
      <c r="G20">
        <v>20</v>
      </c>
      <c r="H20">
        <v>15</v>
      </c>
      <c r="I20">
        <v>20</v>
      </c>
      <c r="J20">
        <v>19</v>
      </c>
    </row>
    <row r="21" spans="1:10" x14ac:dyDescent="0.45">
      <c r="A21" t="s">
        <v>42</v>
      </c>
      <c r="B21">
        <v>19</v>
      </c>
      <c r="C21">
        <v>17</v>
      </c>
      <c r="D21">
        <v>17</v>
      </c>
      <c r="E21">
        <v>20</v>
      </c>
      <c r="F21">
        <v>22</v>
      </c>
      <c r="G21">
        <v>19</v>
      </c>
      <c r="H21">
        <v>20</v>
      </c>
      <c r="I21">
        <v>19</v>
      </c>
      <c r="J21">
        <v>19.100000000000001</v>
      </c>
    </row>
    <row r="22" spans="1:10" x14ac:dyDescent="0.45">
      <c r="A22" t="s">
        <v>24</v>
      </c>
      <c r="B22">
        <v>20</v>
      </c>
      <c r="C22">
        <v>21</v>
      </c>
      <c r="D22">
        <v>21</v>
      </c>
      <c r="E22">
        <v>21</v>
      </c>
      <c r="F22">
        <v>19</v>
      </c>
      <c r="G22">
        <v>21</v>
      </c>
      <c r="H22">
        <v>16</v>
      </c>
      <c r="I22">
        <v>24</v>
      </c>
      <c r="J22">
        <v>20.399999999999999</v>
      </c>
    </row>
    <row r="23" spans="1:10" x14ac:dyDescent="0.45">
      <c r="A23" t="s">
        <v>17</v>
      </c>
      <c r="B23">
        <v>23</v>
      </c>
      <c r="C23">
        <v>25</v>
      </c>
      <c r="D23">
        <v>23</v>
      </c>
      <c r="E23">
        <v>22</v>
      </c>
      <c r="F23">
        <v>23</v>
      </c>
      <c r="G23">
        <v>22</v>
      </c>
      <c r="H23">
        <v>22</v>
      </c>
      <c r="I23">
        <v>21</v>
      </c>
      <c r="J23">
        <v>22.6</v>
      </c>
    </row>
    <row r="24" spans="1:10" x14ac:dyDescent="0.45">
      <c r="A24" t="s">
        <v>6</v>
      </c>
      <c r="B24">
        <v>22</v>
      </c>
      <c r="C24">
        <v>24</v>
      </c>
      <c r="D24">
        <v>22</v>
      </c>
      <c r="E24">
        <v>23</v>
      </c>
      <c r="F24">
        <v>21</v>
      </c>
      <c r="G24">
        <v>23</v>
      </c>
      <c r="H24">
        <v>25</v>
      </c>
      <c r="I24">
        <v>25</v>
      </c>
      <c r="J24">
        <v>23.1</v>
      </c>
    </row>
    <row r="25" spans="1:10" x14ac:dyDescent="0.45">
      <c r="A25" t="s">
        <v>32</v>
      </c>
      <c r="B25">
        <v>25</v>
      </c>
      <c r="C25">
        <v>23</v>
      </c>
      <c r="D25">
        <v>24</v>
      </c>
      <c r="E25">
        <v>25</v>
      </c>
      <c r="F25">
        <v>24</v>
      </c>
      <c r="G25">
        <v>25</v>
      </c>
      <c r="H25">
        <v>23</v>
      </c>
      <c r="I25">
        <v>23</v>
      </c>
      <c r="J25">
        <v>24</v>
      </c>
    </row>
    <row r="26" spans="1:10" x14ac:dyDescent="0.45">
      <c r="A26" t="s">
        <v>34</v>
      </c>
      <c r="B26" t="s">
        <v>575</v>
      </c>
      <c r="C26" t="s">
        <v>575</v>
      </c>
      <c r="D26">
        <v>25</v>
      </c>
      <c r="E26">
        <v>24</v>
      </c>
      <c r="F26">
        <v>25</v>
      </c>
      <c r="G26">
        <v>24</v>
      </c>
      <c r="H26">
        <v>24</v>
      </c>
      <c r="I26">
        <v>22</v>
      </c>
      <c r="J26">
        <v>24.5</v>
      </c>
    </row>
    <row r="27" spans="1:10" x14ac:dyDescent="0.45">
      <c r="A27" t="s">
        <v>165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 x14ac:dyDescent="0.45">
      <c r="A28" t="s">
        <v>104</v>
      </c>
      <c r="B28">
        <v>3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2.1</v>
      </c>
    </row>
    <row r="29" spans="1:10" x14ac:dyDescent="0.45">
      <c r="A29" t="s">
        <v>88</v>
      </c>
      <c r="B29">
        <v>2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2.9</v>
      </c>
    </row>
    <row r="30" spans="1:10" x14ac:dyDescent="0.45">
      <c r="A30" t="s">
        <v>100</v>
      </c>
      <c r="B30">
        <v>4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</row>
    <row r="31" spans="1:10" x14ac:dyDescent="0.45">
      <c r="A31" t="s">
        <v>86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6</v>
      </c>
      <c r="I31">
        <v>5</v>
      </c>
      <c r="J31">
        <v>5.0999999999999996</v>
      </c>
    </row>
    <row r="32" spans="1:10" x14ac:dyDescent="0.45">
      <c r="A32" t="s">
        <v>85</v>
      </c>
      <c r="B32">
        <v>6</v>
      </c>
      <c r="C32">
        <v>6</v>
      </c>
      <c r="D32">
        <v>7</v>
      </c>
      <c r="E32">
        <v>6</v>
      </c>
      <c r="F32">
        <v>6</v>
      </c>
      <c r="G32">
        <v>8</v>
      </c>
      <c r="H32">
        <v>5</v>
      </c>
      <c r="I32">
        <v>7</v>
      </c>
      <c r="J32">
        <v>6.4</v>
      </c>
    </row>
    <row r="33" spans="1:10" x14ac:dyDescent="0.45">
      <c r="A33" t="s">
        <v>99</v>
      </c>
      <c r="B33">
        <v>7</v>
      </c>
      <c r="C33">
        <v>7</v>
      </c>
      <c r="D33">
        <v>6</v>
      </c>
      <c r="E33">
        <v>7</v>
      </c>
      <c r="F33">
        <v>10</v>
      </c>
      <c r="G33">
        <v>7</v>
      </c>
      <c r="H33">
        <v>8</v>
      </c>
      <c r="I33">
        <v>6</v>
      </c>
      <c r="J33">
        <v>7.3</v>
      </c>
    </row>
    <row r="34" spans="1:10" x14ac:dyDescent="0.45">
      <c r="A34" t="s">
        <v>125</v>
      </c>
      <c r="B34">
        <v>10</v>
      </c>
      <c r="C34">
        <v>8</v>
      </c>
      <c r="D34">
        <v>8</v>
      </c>
      <c r="E34">
        <v>9</v>
      </c>
      <c r="F34">
        <v>8</v>
      </c>
      <c r="G34">
        <v>6</v>
      </c>
      <c r="H34">
        <v>10</v>
      </c>
      <c r="I34">
        <v>8</v>
      </c>
      <c r="J34">
        <v>8.4</v>
      </c>
    </row>
    <row r="35" spans="1:10" x14ac:dyDescent="0.45">
      <c r="A35" t="s">
        <v>87</v>
      </c>
      <c r="B35">
        <v>9</v>
      </c>
      <c r="C35">
        <v>10</v>
      </c>
      <c r="D35">
        <v>10</v>
      </c>
      <c r="E35">
        <v>8</v>
      </c>
      <c r="F35">
        <v>7</v>
      </c>
      <c r="G35">
        <v>9</v>
      </c>
      <c r="H35">
        <v>9</v>
      </c>
      <c r="I35">
        <v>9</v>
      </c>
      <c r="J35">
        <v>8.9</v>
      </c>
    </row>
    <row r="36" spans="1:10" x14ac:dyDescent="0.45">
      <c r="A36" t="s">
        <v>576</v>
      </c>
      <c r="B36">
        <v>8</v>
      </c>
      <c r="C36">
        <v>9</v>
      </c>
      <c r="D36">
        <v>9</v>
      </c>
      <c r="E36">
        <v>10</v>
      </c>
      <c r="F36">
        <v>9</v>
      </c>
      <c r="G36">
        <v>10</v>
      </c>
      <c r="H36">
        <v>11</v>
      </c>
      <c r="I36">
        <v>10</v>
      </c>
      <c r="J36">
        <v>9.5</v>
      </c>
    </row>
    <row r="37" spans="1:10" x14ac:dyDescent="0.45">
      <c r="A37" t="s">
        <v>83</v>
      </c>
      <c r="B37">
        <v>12</v>
      </c>
      <c r="C37">
        <v>12</v>
      </c>
      <c r="D37">
        <v>13</v>
      </c>
      <c r="E37">
        <v>11</v>
      </c>
      <c r="F37">
        <v>15</v>
      </c>
      <c r="G37">
        <v>11</v>
      </c>
      <c r="H37">
        <v>17</v>
      </c>
      <c r="I37">
        <v>11</v>
      </c>
      <c r="J37">
        <v>12.8</v>
      </c>
    </row>
    <row r="38" spans="1:10" x14ac:dyDescent="0.45">
      <c r="A38" t="s">
        <v>95</v>
      </c>
      <c r="B38">
        <v>11</v>
      </c>
      <c r="C38">
        <v>13</v>
      </c>
      <c r="D38">
        <v>14</v>
      </c>
      <c r="E38">
        <v>12</v>
      </c>
      <c r="F38">
        <v>12</v>
      </c>
      <c r="G38">
        <v>13</v>
      </c>
      <c r="H38">
        <v>16</v>
      </c>
      <c r="I38">
        <v>12</v>
      </c>
      <c r="J38">
        <v>12.9</v>
      </c>
    </row>
    <row r="39" spans="1:10" x14ac:dyDescent="0.45">
      <c r="A39" t="s">
        <v>92</v>
      </c>
      <c r="B39">
        <v>14</v>
      </c>
      <c r="C39">
        <v>11</v>
      </c>
      <c r="D39">
        <v>11</v>
      </c>
      <c r="E39">
        <v>13</v>
      </c>
      <c r="F39">
        <v>14</v>
      </c>
      <c r="G39">
        <v>15</v>
      </c>
      <c r="H39">
        <v>12</v>
      </c>
      <c r="I39">
        <v>15</v>
      </c>
      <c r="J39">
        <v>13.1</v>
      </c>
    </row>
    <row r="40" spans="1:10" x14ac:dyDescent="0.45">
      <c r="A40" t="s">
        <v>97</v>
      </c>
      <c r="B40">
        <v>13</v>
      </c>
      <c r="C40">
        <v>14</v>
      </c>
      <c r="D40">
        <v>16</v>
      </c>
      <c r="E40">
        <v>15</v>
      </c>
      <c r="F40">
        <v>11</v>
      </c>
      <c r="G40">
        <v>12</v>
      </c>
      <c r="H40">
        <v>13</v>
      </c>
      <c r="I40">
        <v>13</v>
      </c>
      <c r="J40">
        <v>13.4</v>
      </c>
    </row>
    <row r="41" spans="1:10" x14ac:dyDescent="0.45">
      <c r="A41" t="s">
        <v>90</v>
      </c>
      <c r="B41">
        <v>15</v>
      </c>
      <c r="C41">
        <v>15</v>
      </c>
      <c r="D41">
        <v>15</v>
      </c>
      <c r="E41">
        <v>14</v>
      </c>
      <c r="F41">
        <v>13</v>
      </c>
      <c r="G41">
        <v>14</v>
      </c>
      <c r="H41">
        <v>15</v>
      </c>
      <c r="I41">
        <v>14</v>
      </c>
      <c r="J41">
        <v>14.4</v>
      </c>
    </row>
    <row r="42" spans="1:10" x14ac:dyDescent="0.45">
      <c r="A42" t="s">
        <v>89</v>
      </c>
      <c r="B42">
        <v>17</v>
      </c>
      <c r="C42">
        <v>17</v>
      </c>
      <c r="D42">
        <v>12</v>
      </c>
      <c r="E42">
        <v>16</v>
      </c>
      <c r="F42">
        <v>17</v>
      </c>
      <c r="G42">
        <v>17</v>
      </c>
      <c r="H42">
        <v>7</v>
      </c>
      <c r="I42">
        <v>17</v>
      </c>
      <c r="J42">
        <v>15</v>
      </c>
    </row>
    <row r="43" spans="1:10" x14ac:dyDescent="0.45">
      <c r="A43" t="s">
        <v>577</v>
      </c>
      <c r="B43">
        <v>16</v>
      </c>
      <c r="C43">
        <v>16</v>
      </c>
      <c r="D43">
        <v>17</v>
      </c>
      <c r="E43">
        <v>17</v>
      </c>
      <c r="F43">
        <v>16</v>
      </c>
      <c r="G43">
        <v>16</v>
      </c>
      <c r="H43">
        <v>14</v>
      </c>
      <c r="I43">
        <v>16</v>
      </c>
      <c r="J43">
        <v>16</v>
      </c>
    </row>
    <row r="44" spans="1:10" x14ac:dyDescent="0.45">
      <c r="A44" t="s">
        <v>103</v>
      </c>
      <c r="B44">
        <v>18</v>
      </c>
      <c r="C44">
        <v>21</v>
      </c>
      <c r="D44">
        <v>18</v>
      </c>
      <c r="E44">
        <v>21</v>
      </c>
      <c r="F44">
        <v>18</v>
      </c>
      <c r="G44">
        <v>19</v>
      </c>
      <c r="H44">
        <v>18</v>
      </c>
      <c r="I44">
        <v>18</v>
      </c>
      <c r="J44">
        <v>18.899999999999999</v>
      </c>
    </row>
    <row r="45" spans="1:10" x14ac:dyDescent="0.45">
      <c r="A45" t="s">
        <v>111</v>
      </c>
      <c r="B45">
        <v>19</v>
      </c>
      <c r="C45">
        <v>18</v>
      </c>
      <c r="D45">
        <v>19</v>
      </c>
      <c r="E45">
        <v>18</v>
      </c>
      <c r="F45">
        <v>20</v>
      </c>
      <c r="G45">
        <v>18</v>
      </c>
      <c r="H45">
        <v>20</v>
      </c>
      <c r="I45">
        <v>20</v>
      </c>
      <c r="J45">
        <v>19</v>
      </c>
    </row>
    <row r="46" spans="1:10" x14ac:dyDescent="0.45">
      <c r="A46" t="s">
        <v>96</v>
      </c>
      <c r="B46">
        <v>21</v>
      </c>
      <c r="C46">
        <v>20</v>
      </c>
      <c r="D46">
        <v>20</v>
      </c>
      <c r="E46">
        <v>22</v>
      </c>
      <c r="F46">
        <v>19</v>
      </c>
      <c r="G46">
        <v>20</v>
      </c>
      <c r="H46">
        <v>21</v>
      </c>
      <c r="I46">
        <v>21</v>
      </c>
      <c r="J46">
        <v>20.5</v>
      </c>
    </row>
    <row r="47" spans="1:10" x14ac:dyDescent="0.45">
      <c r="A47" t="s">
        <v>107</v>
      </c>
      <c r="B47">
        <v>20</v>
      </c>
      <c r="C47">
        <v>25</v>
      </c>
      <c r="D47">
        <v>21</v>
      </c>
      <c r="E47">
        <v>19</v>
      </c>
      <c r="F47">
        <v>22</v>
      </c>
      <c r="G47">
        <v>21</v>
      </c>
      <c r="H47">
        <v>19</v>
      </c>
      <c r="I47">
        <v>19</v>
      </c>
      <c r="J47">
        <v>20.8</v>
      </c>
    </row>
    <row r="48" spans="1:10" x14ac:dyDescent="0.45">
      <c r="A48" t="s">
        <v>108</v>
      </c>
      <c r="B48">
        <v>22</v>
      </c>
      <c r="C48">
        <v>19</v>
      </c>
      <c r="D48">
        <v>23</v>
      </c>
      <c r="E48">
        <v>23</v>
      </c>
      <c r="F48">
        <v>21</v>
      </c>
      <c r="G48">
        <v>22</v>
      </c>
      <c r="H48">
        <v>23</v>
      </c>
      <c r="I48">
        <v>22</v>
      </c>
      <c r="J48">
        <v>21.9</v>
      </c>
    </row>
    <row r="49" spans="1:10" x14ac:dyDescent="0.45">
      <c r="A49" t="s">
        <v>175</v>
      </c>
      <c r="B49">
        <v>23</v>
      </c>
      <c r="C49">
        <v>22</v>
      </c>
      <c r="D49">
        <v>22</v>
      </c>
      <c r="E49">
        <v>20</v>
      </c>
      <c r="F49">
        <v>23</v>
      </c>
      <c r="G49">
        <v>24</v>
      </c>
      <c r="H49">
        <v>22</v>
      </c>
      <c r="I49">
        <v>25</v>
      </c>
      <c r="J49">
        <v>22.6</v>
      </c>
    </row>
    <row r="50" spans="1:10" x14ac:dyDescent="0.45">
      <c r="A50" t="s">
        <v>578</v>
      </c>
      <c r="B50">
        <v>24</v>
      </c>
      <c r="C50">
        <v>23</v>
      </c>
      <c r="D50">
        <v>26</v>
      </c>
      <c r="E50">
        <v>26</v>
      </c>
      <c r="F50">
        <v>25</v>
      </c>
      <c r="G50">
        <v>26</v>
      </c>
      <c r="H50">
        <v>27</v>
      </c>
      <c r="I50">
        <v>26</v>
      </c>
      <c r="J50">
        <v>25.4</v>
      </c>
    </row>
    <row r="51" spans="1:10" x14ac:dyDescent="0.45">
      <c r="A51" t="s">
        <v>156</v>
      </c>
      <c r="B51">
        <v>25</v>
      </c>
      <c r="C51">
        <v>26</v>
      </c>
      <c r="D51">
        <v>28</v>
      </c>
      <c r="E51">
        <v>24</v>
      </c>
      <c r="F51">
        <v>31</v>
      </c>
      <c r="G51">
        <v>23</v>
      </c>
      <c r="H51">
        <v>25</v>
      </c>
      <c r="I51">
        <v>29</v>
      </c>
      <c r="J51">
        <v>26.4</v>
      </c>
    </row>
    <row r="52" spans="1:10" x14ac:dyDescent="0.45">
      <c r="A52" t="s">
        <v>117</v>
      </c>
      <c r="B52">
        <v>28</v>
      </c>
      <c r="C52">
        <v>24</v>
      </c>
      <c r="D52">
        <v>25</v>
      </c>
      <c r="E52">
        <v>28</v>
      </c>
      <c r="F52">
        <v>33</v>
      </c>
      <c r="G52">
        <v>27</v>
      </c>
      <c r="H52">
        <v>26</v>
      </c>
      <c r="I52">
        <v>30</v>
      </c>
      <c r="J52">
        <v>27.6</v>
      </c>
    </row>
    <row r="53" spans="1:10" x14ac:dyDescent="0.45">
      <c r="A53" t="s">
        <v>121</v>
      </c>
      <c r="B53">
        <v>27</v>
      </c>
      <c r="C53">
        <v>35</v>
      </c>
      <c r="D53">
        <v>33</v>
      </c>
      <c r="E53">
        <v>27</v>
      </c>
      <c r="F53">
        <v>24</v>
      </c>
      <c r="G53">
        <v>25</v>
      </c>
      <c r="H53">
        <v>33</v>
      </c>
      <c r="I53">
        <v>24</v>
      </c>
      <c r="J53">
        <v>28.5</v>
      </c>
    </row>
    <row r="54" spans="1:10" x14ac:dyDescent="0.45">
      <c r="A54" t="s">
        <v>127</v>
      </c>
      <c r="B54">
        <v>29</v>
      </c>
      <c r="C54">
        <v>27</v>
      </c>
      <c r="D54">
        <v>24</v>
      </c>
      <c r="E54">
        <v>30</v>
      </c>
      <c r="F54">
        <v>35</v>
      </c>
      <c r="G54">
        <v>31</v>
      </c>
      <c r="H54">
        <v>32</v>
      </c>
      <c r="I54">
        <v>23</v>
      </c>
      <c r="J54">
        <v>28.9</v>
      </c>
    </row>
    <row r="55" spans="1:10" x14ac:dyDescent="0.45">
      <c r="A55" t="s">
        <v>114</v>
      </c>
      <c r="B55">
        <v>26</v>
      </c>
      <c r="C55">
        <v>28</v>
      </c>
      <c r="D55">
        <v>29</v>
      </c>
      <c r="E55">
        <v>25</v>
      </c>
      <c r="F55">
        <v>32</v>
      </c>
      <c r="G55">
        <v>30</v>
      </c>
      <c r="H55">
        <v>30</v>
      </c>
      <c r="I55">
        <v>31</v>
      </c>
      <c r="J55">
        <v>28.9</v>
      </c>
    </row>
    <row r="56" spans="1:10" x14ac:dyDescent="0.45">
      <c r="A56" t="s">
        <v>199</v>
      </c>
      <c r="B56">
        <v>30</v>
      </c>
      <c r="C56">
        <v>36</v>
      </c>
      <c r="D56">
        <v>27</v>
      </c>
      <c r="E56">
        <v>29</v>
      </c>
      <c r="F56">
        <v>29</v>
      </c>
      <c r="G56">
        <v>29</v>
      </c>
      <c r="H56">
        <v>24</v>
      </c>
      <c r="I56">
        <v>32</v>
      </c>
      <c r="J56">
        <v>29.5</v>
      </c>
    </row>
    <row r="57" spans="1:10" x14ac:dyDescent="0.45">
      <c r="A57" t="s">
        <v>128</v>
      </c>
      <c r="B57">
        <v>31</v>
      </c>
      <c r="C57">
        <v>30</v>
      </c>
      <c r="D57">
        <v>35</v>
      </c>
      <c r="E57">
        <v>33</v>
      </c>
      <c r="F57">
        <v>30</v>
      </c>
      <c r="G57">
        <v>28</v>
      </c>
      <c r="H57">
        <v>35</v>
      </c>
      <c r="I57">
        <v>27</v>
      </c>
      <c r="J57">
        <v>31.1</v>
      </c>
    </row>
    <row r="58" spans="1:10" x14ac:dyDescent="0.45">
      <c r="A58" t="s">
        <v>109</v>
      </c>
      <c r="B58">
        <v>32</v>
      </c>
      <c r="C58">
        <v>29</v>
      </c>
      <c r="D58">
        <v>31</v>
      </c>
      <c r="E58">
        <v>31</v>
      </c>
      <c r="F58">
        <v>34</v>
      </c>
      <c r="G58">
        <v>32</v>
      </c>
      <c r="H58">
        <v>28</v>
      </c>
      <c r="I58">
        <v>33</v>
      </c>
      <c r="J58">
        <v>31.3</v>
      </c>
    </row>
    <row r="59" spans="1:10" x14ac:dyDescent="0.45">
      <c r="A59" t="s">
        <v>145</v>
      </c>
      <c r="B59">
        <v>34</v>
      </c>
      <c r="C59">
        <v>32</v>
      </c>
      <c r="D59">
        <v>32</v>
      </c>
      <c r="E59">
        <v>35</v>
      </c>
      <c r="F59">
        <v>28</v>
      </c>
      <c r="G59">
        <v>36</v>
      </c>
      <c r="H59">
        <v>31</v>
      </c>
      <c r="I59">
        <v>28</v>
      </c>
      <c r="J59">
        <v>32</v>
      </c>
    </row>
    <row r="60" spans="1:10" x14ac:dyDescent="0.45">
      <c r="A60" t="s">
        <v>141</v>
      </c>
      <c r="B60">
        <v>33</v>
      </c>
      <c r="C60">
        <v>31</v>
      </c>
      <c r="D60">
        <v>30</v>
      </c>
      <c r="E60">
        <v>32</v>
      </c>
      <c r="F60">
        <v>36</v>
      </c>
      <c r="G60">
        <v>33</v>
      </c>
      <c r="H60">
        <v>29</v>
      </c>
      <c r="I60">
        <v>34</v>
      </c>
      <c r="J60">
        <v>32.299999999999997</v>
      </c>
    </row>
    <row r="61" spans="1:10" x14ac:dyDescent="0.45">
      <c r="A61" t="s">
        <v>133</v>
      </c>
      <c r="B61">
        <v>35</v>
      </c>
      <c r="C61">
        <v>33</v>
      </c>
      <c r="D61">
        <v>34</v>
      </c>
      <c r="E61">
        <v>34</v>
      </c>
      <c r="F61">
        <v>27</v>
      </c>
      <c r="G61">
        <v>34</v>
      </c>
      <c r="H61">
        <v>36</v>
      </c>
      <c r="I61">
        <v>35</v>
      </c>
      <c r="J61">
        <v>33.5</v>
      </c>
    </row>
    <row r="62" spans="1:10" x14ac:dyDescent="0.45">
      <c r="A62" t="s">
        <v>123</v>
      </c>
      <c r="B62">
        <v>38</v>
      </c>
      <c r="C62">
        <v>40</v>
      </c>
      <c r="D62">
        <v>37</v>
      </c>
      <c r="E62">
        <v>36</v>
      </c>
      <c r="F62">
        <v>26</v>
      </c>
      <c r="G62">
        <v>37</v>
      </c>
      <c r="H62">
        <v>37</v>
      </c>
      <c r="I62">
        <v>45</v>
      </c>
      <c r="J62">
        <v>37</v>
      </c>
    </row>
    <row r="63" spans="1:10" x14ac:dyDescent="0.45">
      <c r="A63" t="s">
        <v>122</v>
      </c>
      <c r="B63">
        <v>36</v>
      </c>
      <c r="C63">
        <v>38</v>
      </c>
      <c r="D63">
        <v>38</v>
      </c>
      <c r="E63">
        <v>40</v>
      </c>
      <c r="F63">
        <v>37</v>
      </c>
      <c r="G63">
        <v>35</v>
      </c>
      <c r="H63">
        <v>38</v>
      </c>
      <c r="I63">
        <v>36</v>
      </c>
      <c r="J63">
        <v>37.299999999999997</v>
      </c>
    </row>
    <row r="64" spans="1:10" x14ac:dyDescent="0.45">
      <c r="A64" t="s">
        <v>101</v>
      </c>
      <c r="B64">
        <v>37</v>
      </c>
      <c r="C64">
        <v>34</v>
      </c>
      <c r="D64">
        <v>36</v>
      </c>
      <c r="E64">
        <v>37</v>
      </c>
      <c r="F64">
        <v>41</v>
      </c>
      <c r="G64">
        <v>44</v>
      </c>
      <c r="H64">
        <v>34</v>
      </c>
      <c r="I64">
        <v>40</v>
      </c>
      <c r="J64">
        <v>37.9</v>
      </c>
    </row>
    <row r="65" spans="1:10" x14ac:dyDescent="0.45">
      <c r="A65" t="s">
        <v>112</v>
      </c>
      <c r="B65">
        <v>39</v>
      </c>
      <c r="C65">
        <v>41</v>
      </c>
      <c r="D65">
        <v>41</v>
      </c>
      <c r="E65">
        <v>39</v>
      </c>
      <c r="F65">
        <v>44</v>
      </c>
      <c r="G65">
        <v>38</v>
      </c>
      <c r="H65">
        <v>41</v>
      </c>
      <c r="I65">
        <v>38</v>
      </c>
      <c r="J65">
        <v>40.1</v>
      </c>
    </row>
    <row r="66" spans="1:10" x14ac:dyDescent="0.45">
      <c r="A66" t="s">
        <v>93</v>
      </c>
      <c r="B66">
        <v>40</v>
      </c>
      <c r="C66">
        <v>42</v>
      </c>
      <c r="D66">
        <v>39</v>
      </c>
      <c r="E66">
        <v>38</v>
      </c>
      <c r="F66">
        <v>40</v>
      </c>
      <c r="G66">
        <v>41</v>
      </c>
      <c r="H66">
        <v>44</v>
      </c>
      <c r="I66">
        <v>44</v>
      </c>
      <c r="J66">
        <v>41</v>
      </c>
    </row>
    <row r="67" spans="1:10" x14ac:dyDescent="0.45">
      <c r="A67" t="s">
        <v>113</v>
      </c>
      <c r="B67">
        <v>42</v>
      </c>
      <c r="C67">
        <v>43</v>
      </c>
      <c r="D67">
        <v>40</v>
      </c>
      <c r="E67">
        <v>41</v>
      </c>
      <c r="F67">
        <v>38</v>
      </c>
      <c r="G67">
        <v>40</v>
      </c>
      <c r="H67">
        <v>43</v>
      </c>
      <c r="I67">
        <v>41</v>
      </c>
      <c r="J67">
        <v>41</v>
      </c>
    </row>
    <row r="68" spans="1:10" x14ac:dyDescent="0.45">
      <c r="A68" t="s">
        <v>110</v>
      </c>
      <c r="B68">
        <v>43</v>
      </c>
      <c r="C68">
        <v>37</v>
      </c>
      <c r="D68">
        <v>43</v>
      </c>
      <c r="E68">
        <v>42</v>
      </c>
      <c r="F68">
        <v>45</v>
      </c>
      <c r="G68">
        <v>39</v>
      </c>
      <c r="H68">
        <v>50</v>
      </c>
      <c r="I68">
        <v>37</v>
      </c>
      <c r="J68">
        <v>42</v>
      </c>
    </row>
    <row r="69" spans="1:10" x14ac:dyDescent="0.45">
      <c r="A69" t="s">
        <v>157</v>
      </c>
      <c r="B69">
        <v>41</v>
      </c>
      <c r="C69">
        <v>46</v>
      </c>
      <c r="D69">
        <v>47</v>
      </c>
      <c r="E69">
        <v>43</v>
      </c>
      <c r="F69">
        <v>39</v>
      </c>
      <c r="G69">
        <v>42</v>
      </c>
      <c r="H69">
        <v>45</v>
      </c>
      <c r="I69">
        <v>43</v>
      </c>
      <c r="J69">
        <v>43.3</v>
      </c>
    </row>
    <row r="70" spans="1:10" x14ac:dyDescent="0.45">
      <c r="A70" t="s">
        <v>136</v>
      </c>
      <c r="B70">
        <v>46</v>
      </c>
      <c r="C70">
        <v>45</v>
      </c>
      <c r="D70">
        <v>42</v>
      </c>
      <c r="E70">
        <v>44</v>
      </c>
      <c r="F70">
        <v>47</v>
      </c>
      <c r="G70">
        <v>47</v>
      </c>
      <c r="H70">
        <v>42</v>
      </c>
      <c r="I70">
        <v>47</v>
      </c>
      <c r="J70">
        <v>45</v>
      </c>
    </row>
    <row r="71" spans="1:10" x14ac:dyDescent="0.45">
      <c r="A71" t="s">
        <v>102</v>
      </c>
      <c r="B71">
        <v>45</v>
      </c>
      <c r="C71">
        <v>39</v>
      </c>
      <c r="D71">
        <v>48</v>
      </c>
      <c r="E71" t="s">
        <v>575</v>
      </c>
      <c r="F71">
        <v>42</v>
      </c>
      <c r="G71">
        <v>50</v>
      </c>
      <c r="H71" t="s">
        <v>575</v>
      </c>
      <c r="I71">
        <v>39</v>
      </c>
      <c r="J71">
        <v>45.6</v>
      </c>
    </row>
    <row r="72" spans="1:10" x14ac:dyDescent="0.45">
      <c r="A72" t="s">
        <v>170</v>
      </c>
      <c r="B72">
        <v>48</v>
      </c>
      <c r="C72">
        <v>47</v>
      </c>
      <c r="D72">
        <v>45</v>
      </c>
      <c r="E72">
        <v>46</v>
      </c>
      <c r="F72">
        <v>48</v>
      </c>
      <c r="G72">
        <v>45</v>
      </c>
      <c r="H72">
        <v>39</v>
      </c>
      <c r="I72">
        <v>48</v>
      </c>
      <c r="J72">
        <v>45.8</v>
      </c>
    </row>
    <row r="73" spans="1:10" x14ac:dyDescent="0.45">
      <c r="A73" t="s">
        <v>176</v>
      </c>
      <c r="B73">
        <v>47</v>
      </c>
      <c r="C73">
        <v>44</v>
      </c>
      <c r="D73">
        <v>46</v>
      </c>
      <c r="E73">
        <v>45</v>
      </c>
      <c r="F73">
        <v>50</v>
      </c>
      <c r="G73">
        <v>43</v>
      </c>
      <c r="H73">
        <v>47</v>
      </c>
      <c r="I73">
        <v>46</v>
      </c>
      <c r="J73">
        <v>46</v>
      </c>
    </row>
    <row r="74" spans="1:10" x14ac:dyDescent="0.45">
      <c r="A74" t="s">
        <v>91</v>
      </c>
      <c r="B74">
        <v>49</v>
      </c>
      <c r="C74" t="s">
        <v>575</v>
      </c>
      <c r="D74">
        <v>49</v>
      </c>
      <c r="E74">
        <v>47</v>
      </c>
      <c r="F74" t="s">
        <v>575</v>
      </c>
      <c r="G74">
        <v>46</v>
      </c>
      <c r="H74">
        <v>46</v>
      </c>
      <c r="I74">
        <v>42</v>
      </c>
      <c r="J74">
        <v>47.6</v>
      </c>
    </row>
    <row r="75" spans="1:10" x14ac:dyDescent="0.45">
      <c r="A75" t="s">
        <v>151</v>
      </c>
      <c r="B75">
        <v>50</v>
      </c>
      <c r="C75">
        <v>48</v>
      </c>
      <c r="D75">
        <v>50</v>
      </c>
      <c r="E75" t="s">
        <v>575</v>
      </c>
      <c r="F75">
        <v>43</v>
      </c>
      <c r="G75" t="s">
        <v>575</v>
      </c>
      <c r="H75">
        <v>40</v>
      </c>
      <c r="I75" t="s">
        <v>575</v>
      </c>
      <c r="J75">
        <v>48</v>
      </c>
    </row>
    <row r="76" spans="1:10" x14ac:dyDescent="0.45">
      <c r="A76" t="s">
        <v>159</v>
      </c>
      <c r="B76">
        <v>44</v>
      </c>
      <c r="C76">
        <v>50</v>
      </c>
      <c r="D76">
        <v>44</v>
      </c>
      <c r="E76">
        <v>48</v>
      </c>
      <c r="F76">
        <v>49</v>
      </c>
      <c r="G76">
        <v>48</v>
      </c>
      <c r="H76" t="s">
        <v>575</v>
      </c>
      <c r="I76" t="s">
        <v>575</v>
      </c>
      <c r="J76">
        <v>48.1</v>
      </c>
    </row>
    <row r="77" spans="1:10" x14ac:dyDescent="0.45">
      <c r="A77" t="s">
        <v>241</v>
      </c>
      <c r="B77">
        <v>2</v>
      </c>
      <c r="C77">
        <v>1</v>
      </c>
      <c r="D77">
        <v>2</v>
      </c>
      <c r="E77">
        <v>1</v>
      </c>
      <c r="F77">
        <v>1</v>
      </c>
      <c r="G77">
        <v>1</v>
      </c>
      <c r="H77">
        <v>1</v>
      </c>
      <c r="I77">
        <v>2</v>
      </c>
      <c r="J77">
        <v>1.4</v>
      </c>
    </row>
    <row r="78" spans="1:10" x14ac:dyDescent="0.45">
      <c r="A78" t="s">
        <v>233</v>
      </c>
      <c r="B78">
        <v>1</v>
      </c>
      <c r="C78">
        <v>2</v>
      </c>
      <c r="D78">
        <v>1</v>
      </c>
      <c r="E78">
        <v>2</v>
      </c>
      <c r="F78">
        <v>2</v>
      </c>
      <c r="G78">
        <v>2</v>
      </c>
      <c r="H78">
        <v>2</v>
      </c>
      <c r="I78">
        <v>1</v>
      </c>
      <c r="J78">
        <v>1.6</v>
      </c>
    </row>
    <row r="79" spans="1:10" x14ac:dyDescent="0.45">
      <c r="A79" t="s">
        <v>232</v>
      </c>
      <c r="B79">
        <v>3</v>
      </c>
      <c r="C79">
        <v>3</v>
      </c>
      <c r="D79">
        <v>3</v>
      </c>
      <c r="E79">
        <v>3</v>
      </c>
      <c r="F79">
        <v>3</v>
      </c>
      <c r="G79">
        <v>3</v>
      </c>
      <c r="H79">
        <v>4</v>
      </c>
      <c r="I79">
        <v>3</v>
      </c>
      <c r="J79">
        <v>3.1</v>
      </c>
    </row>
    <row r="80" spans="1:10" x14ac:dyDescent="0.45">
      <c r="A80" t="s">
        <v>229</v>
      </c>
      <c r="B80">
        <v>4</v>
      </c>
      <c r="C80">
        <v>4</v>
      </c>
      <c r="D80">
        <v>4</v>
      </c>
      <c r="E80">
        <v>4</v>
      </c>
      <c r="F80">
        <v>4</v>
      </c>
      <c r="G80">
        <v>5</v>
      </c>
      <c r="H80">
        <v>5</v>
      </c>
      <c r="I80">
        <v>4</v>
      </c>
      <c r="J80">
        <v>4.3</v>
      </c>
    </row>
    <row r="81" spans="1:10" x14ac:dyDescent="0.45">
      <c r="A81" t="s">
        <v>261</v>
      </c>
      <c r="B81">
        <v>5</v>
      </c>
      <c r="C81">
        <v>5</v>
      </c>
      <c r="D81">
        <v>7</v>
      </c>
      <c r="E81">
        <v>5</v>
      </c>
      <c r="F81">
        <v>8</v>
      </c>
      <c r="G81">
        <v>4</v>
      </c>
      <c r="H81">
        <v>6</v>
      </c>
      <c r="I81">
        <v>5</v>
      </c>
      <c r="J81">
        <v>5.6</v>
      </c>
    </row>
    <row r="82" spans="1:10" x14ac:dyDescent="0.45">
      <c r="A82" t="s">
        <v>257</v>
      </c>
      <c r="B82">
        <v>6</v>
      </c>
      <c r="C82">
        <v>7</v>
      </c>
      <c r="D82">
        <v>5</v>
      </c>
      <c r="E82">
        <v>6</v>
      </c>
      <c r="F82">
        <v>6</v>
      </c>
      <c r="G82">
        <v>7</v>
      </c>
      <c r="H82">
        <v>3</v>
      </c>
      <c r="I82">
        <v>6</v>
      </c>
      <c r="J82">
        <v>5.8</v>
      </c>
    </row>
    <row r="83" spans="1:10" x14ac:dyDescent="0.45">
      <c r="A83" t="s">
        <v>227</v>
      </c>
      <c r="B83">
        <v>7</v>
      </c>
      <c r="C83">
        <v>6</v>
      </c>
      <c r="D83">
        <v>6</v>
      </c>
      <c r="E83">
        <v>7</v>
      </c>
      <c r="F83">
        <v>5</v>
      </c>
      <c r="G83">
        <v>6</v>
      </c>
      <c r="H83">
        <v>7</v>
      </c>
      <c r="I83">
        <v>8</v>
      </c>
      <c r="J83">
        <v>6.5</v>
      </c>
    </row>
    <row r="84" spans="1:10" x14ac:dyDescent="0.45">
      <c r="A84" t="s">
        <v>237</v>
      </c>
      <c r="B84">
        <v>8</v>
      </c>
      <c r="C84">
        <v>9</v>
      </c>
      <c r="D84">
        <v>9</v>
      </c>
      <c r="E84">
        <v>9</v>
      </c>
      <c r="F84">
        <v>7</v>
      </c>
      <c r="G84">
        <v>8</v>
      </c>
      <c r="H84">
        <v>10</v>
      </c>
      <c r="I84">
        <v>7</v>
      </c>
      <c r="J84">
        <v>8.4</v>
      </c>
    </row>
    <row r="85" spans="1:10" x14ac:dyDescent="0.45">
      <c r="A85" t="s">
        <v>243</v>
      </c>
      <c r="B85">
        <v>10</v>
      </c>
      <c r="C85">
        <v>8</v>
      </c>
      <c r="D85">
        <v>8</v>
      </c>
      <c r="E85">
        <v>8</v>
      </c>
      <c r="F85">
        <v>10</v>
      </c>
      <c r="G85">
        <v>9</v>
      </c>
      <c r="H85">
        <v>8</v>
      </c>
      <c r="I85">
        <v>12</v>
      </c>
      <c r="J85">
        <v>9.1</v>
      </c>
    </row>
    <row r="86" spans="1:10" x14ac:dyDescent="0.45">
      <c r="A86" t="s">
        <v>258</v>
      </c>
      <c r="B86">
        <v>9</v>
      </c>
      <c r="C86">
        <v>10</v>
      </c>
      <c r="D86">
        <v>10</v>
      </c>
      <c r="E86">
        <v>10</v>
      </c>
      <c r="F86">
        <v>9</v>
      </c>
      <c r="G86">
        <v>10</v>
      </c>
      <c r="H86">
        <v>9</v>
      </c>
      <c r="I86">
        <v>10</v>
      </c>
      <c r="J86">
        <v>9.6</v>
      </c>
    </row>
    <row r="87" spans="1:10" x14ac:dyDescent="0.45">
      <c r="A87" t="s">
        <v>248</v>
      </c>
      <c r="B87">
        <v>11</v>
      </c>
      <c r="C87">
        <v>11</v>
      </c>
      <c r="D87">
        <v>11</v>
      </c>
      <c r="E87">
        <v>12</v>
      </c>
      <c r="F87">
        <v>11</v>
      </c>
      <c r="G87">
        <v>11</v>
      </c>
      <c r="H87">
        <v>11</v>
      </c>
      <c r="I87">
        <v>11</v>
      </c>
      <c r="J87">
        <v>11.1</v>
      </c>
    </row>
    <row r="88" spans="1:10" x14ac:dyDescent="0.45">
      <c r="A88" t="s">
        <v>231</v>
      </c>
      <c r="B88">
        <v>12</v>
      </c>
      <c r="C88">
        <v>12</v>
      </c>
      <c r="D88">
        <v>12</v>
      </c>
      <c r="E88">
        <v>11</v>
      </c>
      <c r="F88">
        <v>13</v>
      </c>
      <c r="G88">
        <v>13</v>
      </c>
      <c r="H88">
        <v>12</v>
      </c>
      <c r="I88">
        <v>14</v>
      </c>
      <c r="J88">
        <v>12.4</v>
      </c>
    </row>
    <row r="89" spans="1:10" x14ac:dyDescent="0.45">
      <c r="A89" t="s">
        <v>262</v>
      </c>
      <c r="B89">
        <v>13</v>
      </c>
      <c r="C89">
        <v>13</v>
      </c>
      <c r="D89">
        <v>13</v>
      </c>
      <c r="E89">
        <v>13</v>
      </c>
      <c r="F89">
        <v>12</v>
      </c>
      <c r="G89">
        <v>12</v>
      </c>
      <c r="H89">
        <v>17</v>
      </c>
      <c r="I89">
        <v>9</v>
      </c>
      <c r="J89">
        <v>12.8</v>
      </c>
    </row>
    <row r="90" spans="1:10" x14ac:dyDescent="0.45">
      <c r="A90" t="s">
        <v>236</v>
      </c>
      <c r="B90">
        <v>14</v>
      </c>
      <c r="C90">
        <v>14</v>
      </c>
      <c r="D90">
        <v>14</v>
      </c>
      <c r="E90">
        <v>14</v>
      </c>
      <c r="F90">
        <v>15</v>
      </c>
      <c r="G90">
        <v>14</v>
      </c>
      <c r="H90">
        <v>14</v>
      </c>
      <c r="I90">
        <v>13</v>
      </c>
      <c r="J90">
        <v>14</v>
      </c>
    </row>
    <row r="91" spans="1:10" x14ac:dyDescent="0.45">
      <c r="A91" t="s">
        <v>252</v>
      </c>
      <c r="B91">
        <v>16</v>
      </c>
      <c r="C91">
        <v>16</v>
      </c>
      <c r="D91">
        <v>15</v>
      </c>
      <c r="E91">
        <v>15</v>
      </c>
      <c r="F91">
        <v>14</v>
      </c>
      <c r="G91">
        <v>15</v>
      </c>
      <c r="H91">
        <v>13</v>
      </c>
      <c r="I91">
        <v>16</v>
      </c>
      <c r="J91">
        <v>15</v>
      </c>
    </row>
    <row r="92" spans="1:10" x14ac:dyDescent="0.45">
      <c r="A92" t="s">
        <v>239</v>
      </c>
      <c r="B92">
        <v>15</v>
      </c>
      <c r="C92">
        <v>15</v>
      </c>
      <c r="D92">
        <v>16</v>
      </c>
      <c r="E92">
        <v>16</v>
      </c>
      <c r="F92">
        <v>16</v>
      </c>
      <c r="G92">
        <v>16</v>
      </c>
      <c r="H92">
        <v>15</v>
      </c>
      <c r="I92">
        <v>15</v>
      </c>
      <c r="J92">
        <v>15.5</v>
      </c>
    </row>
    <row r="93" spans="1:10" x14ac:dyDescent="0.45">
      <c r="A93" t="s">
        <v>245</v>
      </c>
      <c r="B93">
        <v>17</v>
      </c>
      <c r="C93">
        <v>17</v>
      </c>
      <c r="D93">
        <v>17</v>
      </c>
      <c r="E93">
        <v>17</v>
      </c>
      <c r="F93">
        <v>17</v>
      </c>
      <c r="G93">
        <v>17</v>
      </c>
      <c r="H93">
        <v>22</v>
      </c>
      <c r="I93">
        <v>17</v>
      </c>
      <c r="J93">
        <v>17.600000000000001</v>
      </c>
    </row>
    <row r="94" spans="1:10" x14ac:dyDescent="0.45">
      <c r="A94" t="s">
        <v>246</v>
      </c>
      <c r="B94">
        <v>18</v>
      </c>
      <c r="C94">
        <v>18</v>
      </c>
      <c r="D94">
        <v>18</v>
      </c>
      <c r="E94">
        <v>18</v>
      </c>
      <c r="F94">
        <v>18</v>
      </c>
      <c r="G94">
        <v>18</v>
      </c>
      <c r="H94">
        <v>24</v>
      </c>
      <c r="I94">
        <v>19</v>
      </c>
      <c r="J94">
        <v>18.899999999999999</v>
      </c>
    </row>
    <row r="95" spans="1:10" x14ac:dyDescent="0.45">
      <c r="A95" t="s">
        <v>250</v>
      </c>
      <c r="B95">
        <v>21</v>
      </c>
      <c r="C95">
        <v>20</v>
      </c>
      <c r="D95">
        <v>22</v>
      </c>
      <c r="E95">
        <v>20</v>
      </c>
      <c r="F95">
        <v>22</v>
      </c>
      <c r="G95">
        <v>21</v>
      </c>
      <c r="H95">
        <v>16</v>
      </c>
      <c r="I95">
        <v>21</v>
      </c>
      <c r="J95">
        <v>20.399999999999999</v>
      </c>
    </row>
    <row r="96" spans="1:10" x14ac:dyDescent="0.45">
      <c r="A96" t="s">
        <v>253</v>
      </c>
      <c r="B96">
        <v>20</v>
      </c>
      <c r="C96">
        <v>19</v>
      </c>
      <c r="D96">
        <v>19</v>
      </c>
      <c r="E96">
        <v>19</v>
      </c>
      <c r="F96">
        <v>21</v>
      </c>
      <c r="G96">
        <v>20</v>
      </c>
      <c r="H96" t="s">
        <v>575</v>
      </c>
      <c r="I96">
        <v>22</v>
      </c>
      <c r="J96">
        <v>20.8</v>
      </c>
    </row>
    <row r="97" spans="1:10" x14ac:dyDescent="0.45">
      <c r="A97" t="s">
        <v>251</v>
      </c>
      <c r="B97">
        <v>22</v>
      </c>
      <c r="C97">
        <v>21</v>
      </c>
      <c r="D97">
        <v>21</v>
      </c>
      <c r="E97">
        <v>22</v>
      </c>
      <c r="F97">
        <v>19</v>
      </c>
      <c r="G97">
        <v>19</v>
      </c>
      <c r="H97" t="s">
        <v>575</v>
      </c>
      <c r="I97">
        <v>20</v>
      </c>
      <c r="J97">
        <v>21.3</v>
      </c>
    </row>
    <row r="98" spans="1:10" x14ac:dyDescent="0.45">
      <c r="A98" t="s">
        <v>238</v>
      </c>
      <c r="B98">
        <v>19</v>
      </c>
      <c r="C98">
        <v>25</v>
      </c>
      <c r="D98">
        <v>20</v>
      </c>
      <c r="E98">
        <v>23</v>
      </c>
      <c r="F98">
        <v>20</v>
      </c>
      <c r="G98">
        <v>24</v>
      </c>
      <c r="H98">
        <v>18</v>
      </c>
      <c r="I98">
        <v>23</v>
      </c>
      <c r="J98">
        <v>21.5</v>
      </c>
    </row>
    <row r="99" spans="1:10" x14ac:dyDescent="0.45">
      <c r="A99" t="s">
        <v>256</v>
      </c>
      <c r="B99">
        <v>23</v>
      </c>
      <c r="C99">
        <v>24</v>
      </c>
      <c r="D99">
        <v>24</v>
      </c>
      <c r="E99">
        <v>21</v>
      </c>
      <c r="F99">
        <v>23</v>
      </c>
      <c r="G99">
        <v>23</v>
      </c>
      <c r="H99">
        <v>20</v>
      </c>
      <c r="I99">
        <v>18</v>
      </c>
      <c r="J99">
        <v>22</v>
      </c>
    </row>
    <row r="100" spans="1:10" x14ac:dyDescent="0.45">
      <c r="A100" t="s">
        <v>312</v>
      </c>
      <c r="B100" t="s">
        <v>575</v>
      </c>
      <c r="C100">
        <v>23</v>
      </c>
      <c r="D100">
        <v>23</v>
      </c>
      <c r="E100">
        <v>24</v>
      </c>
      <c r="F100" t="s">
        <v>575</v>
      </c>
      <c r="G100">
        <v>22</v>
      </c>
      <c r="H100">
        <v>19</v>
      </c>
      <c r="I100" t="s">
        <v>575</v>
      </c>
      <c r="J100">
        <v>23.6</v>
      </c>
    </row>
    <row r="101" spans="1:10" x14ac:dyDescent="0.45">
      <c r="A101" t="s">
        <v>235</v>
      </c>
      <c r="B101">
        <v>24</v>
      </c>
      <c r="C101">
        <v>22</v>
      </c>
      <c r="D101">
        <v>25</v>
      </c>
      <c r="E101">
        <v>25</v>
      </c>
      <c r="F101" t="s">
        <v>575</v>
      </c>
      <c r="G101" t="s">
        <v>575</v>
      </c>
      <c r="H101">
        <v>21</v>
      </c>
      <c r="I101" t="s">
        <v>575</v>
      </c>
      <c r="J101">
        <v>24.4</v>
      </c>
    </row>
    <row r="102" spans="1:10" x14ac:dyDescent="0.45">
      <c r="A102" t="s">
        <v>358</v>
      </c>
      <c r="B102">
        <v>1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2</v>
      </c>
      <c r="J102">
        <v>1.3</v>
      </c>
    </row>
    <row r="103" spans="1:10" x14ac:dyDescent="0.45">
      <c r="A103" t="s">
        <v>368</v>
      </c>
      <c r="B103">
        <v>2</v>
      </c>
      <c r="C103">
        <v>2</v>
      </c>
      <c r="D103">
        <v>2</v>
      </c>
      <c r="E103">
        <v>2</v>
      </c>
      <c r="F103">
        <v>1</v>
      </c>
      <c r="G103">
        <v>2</v>
      </c>
      <c r="H103">
        <v>2</v>
      </c>
      <c r="I103">
        <v>1</v>
      </c>
      <c r="J103">
        <v>1.8</v>
      </c>
    </row>
    <row r="104" spans="1:10" x14ac:dyDescent="0.45">
      <c r="A104" t="s">
        <v>346</v>
      </c>
      <c r="B104">
        <v>3</v>
      </c>
      <c r="C104">
        <v>3</v>
      </c>
      <c r="D104">
        <v>3</v>
      </c>
      <c r="E104">
        <v>5</v>
      </c>
      <c r="F104">
        <v>3</v>
      </c>
      <c r="G104">
        <v>3</v>
      </c>
      <c r="H104">
        <v>3</v>
      </c>
      <c r="I104">
        <v>4</v>
      </c>
      <c r="J104">
        <v>3.4</v>
      </c>
    </row>
    <row r="105" spans="1:10" x14ac:dyDescent="0.45">
      <c r="A105" t="s">
        <v>350</v>
      </c>
      <c r="B105">
        <v>4</v>
      </c>
      <c r="C105">
        <v>4</v>
      </c>
      <c r="D105">
        <v>5</v>
      </c>
      <c r="E105">
        <v>4</v>
      </c>
      <c r="F105">
        <v>5</v>
      </c>
      <c r="G105">
        <v>4</v>
      </c>
      <c r="H105">
        <v>4</v>
      </c>
      <c r="I105">
        <v>3</v>
      </c>
      <c r="J105">
        <v>4.0999999999999996</v>
      </c>
    </row>
    <row r="106" spans="1:10" x14ac:dyDescent="0.45">
      <c r="A106" t="s">
        <v>349</v>
      </c>
      <c r="B106">
        <v>5</v>
      </c>
      <c r="C106">
        <v>5</v>
      </c>
      <c r="D106">
        <v>4</v>
      </c>
      <c r="E106">
        <v>3</v>
      </c>
      <c r="F106">
        <v>4</v>
      </c>
      <c r="G106">
        <v>5</v>
      </c>
      <c r="H106">
        <v>5</v>
      </c>
      <c r="I106">
        <v>5</v>
      </c>
      <c r="J106">
        <v>4.5</v>
      </c>
    </row>
    <row r="107" spans="1:10" x14ac:dyDescent="0.45">
      <c r="A107" t="s">
        <v>348</v>
      </c>
      <c r="B107">
        <v>6</v>
      </c>
      <c r="C107">
        <v>6</v>
      </c>
      <c r="D107">
        <v>6</v>
      </c>
      <c r="E107">
        <v>6</v>
      </c>
      <c r="F107">
        <v>6</v>
      </c>
      <c r="G107">
        <v>6</v>
      </c>
      <c r="H107">
        <v>6</v>
      </c>
      <c r="I107">
        <v>6</v>
      </c>
      <c r="J107">
        <v>6</v>
      </c>
    </row>
    <row r="108" spans="1:10" x14ac:dyDescent="0.45">
      <c r="A108" t="s">
        <v>370</v>
      </c>
      <c r="B108">
        <v>7</v>
      </c>
      <c r="C108">
        <v>7</v>
      </c>
      <c r="D108">
        <v>8</v>
      </c>
      <c r="E108">
        <v>7</v>
      </c>
      <c r="F108">
        <v>7</v>
      </c>
      <c r="G108">
        <v>8</v>
      </c>
      <c r="H108">
        <v>8</v>
      </c>
      <c r="I108">
        <v>7</v>
      </c>
      <c r="J108">
        <v>7.4</v>
      </c>
    </row>
    <row r="109" spans="1:10" x14ac:dyDescent="0.45">
      <c r="A109" t="s">
        <v>375</v>
      </c>
      <c r="B109">
        <v>8</v>
      </c>
      <c r="C109">
        <v>8</v>
      </c>
      <c r="D109">
        <v>7</v>
      </c>
      <c r="E109">
        <v>8</v>
      </c>
      <c r="F109">
        <v>8</v>
      </c>
      <c r="G109">
        <v>7</v>
      </c>
      <c r="H109">
        <v>7</v>
      </c>
      <c r="I109">
        <v>8</v>
      </c>
      <c r="J109">
        <v>7.6</v>
      </c>
    </row>
    <row r="110" spans="1:10" x14ac:dyDescent="0.45">
      <c r="A110" t="s">
        <v>352</v>
      </c>
      <c r="B110">
        <v>9</v>
      </c>
      <c r="C110">
        <v>10</v>
      </c>
      <c r="D110">
        <v>9</v>
      </c>
      <c r="E110">
        <v>16</v>
      </c>
      <c r="F110">
        <v>9</v>
      </c>
      <c r="G110">
        <v>9</v>
      </c>
      <c r="H110">
        <v>11</v>
      </c>
      <c r="I110">
        <v>10</v>
      </c>
      <c r="J110">
        <v>10.4</v>
      </c>
    </row>
    <row r="111" spans="1:10" x14ac:dyDescent="0.45">
      <c r="A111" t="s">
        <v>427</v>
      </c>
      <c r="B111">
        <v>11</v>
      </c>
      <c r="C111">
        <v>9</v>
      </c>
      <c r="D111">
        <v>10</v>
      </c>
      <c r="E111">
        <v>9</v>
      </c>
      <c r="F111">
        <v>10</v>
      </c>
      <c r="G111">
        <v>10</v>
      </c>
      <c r="H111">
        <v>12</v>
      </c>
      <c r="I111">
        <v>12</v>
      </c>
      <c r="J111">
        <v>10.4</v>
      </c>
    </row>
    <row r="112" spans="1:10" x14ac:dyDescent="0.45">
      <c r="A112" t="s">
        <v>579</v>
      </c>
      <c r="B112">
        <v>13</v>
      </c>
      <c r="C112">
        <v>11</v>
      </c>
      <c r="D112">
        <v>12</v>
      </c>
      <c r="E112">
        <v>10</v>
      </c>
      <c r="F112">
        <v>12</v>
      </c>
      <c r="G112">
        <v>11</v>
      </c>
      <c r="H112">
        <v>14</v>
      </c>
      <c r="I112">
        <v>11</v>
      </c>
      <c r="J112">
        <v>11.8</v>
      </c>
    </row>
    <row r="113" spans="1:10" x14ac:dyDescent="0.45">
      <c r="A113" t="s">
        <v>355</v>
      </c>
      <c r="B113">
        <v>12</v>
      </c>
      <c r="C113">
        <v>12</v>
      </c>
      <c r="D113">
        <v>11</v>
      </c>
      <c r="E113">
        <v>12</v>
      </c>
      <c r="F113">
        <v>11</v>
      </c>
      <c r="G113">
        <v>12</v>
      </c>
      <c r="H113">
        <v>15</v>
      </c>
      <c r="I113">
        <v>13</v>
      </c>
      <c r="J113">
        <v>12.3</v>
      </c>
    </row>
    <row r="114" spans="1:10" x14ac:dyDescent="0.45">
      <c r="A114" t="s">
        <v>580</v>
      </c>
      <c r="B114">
        <v>10</v>
      </c>
      <c r="C114">
        <v>13</v>
      </c>
      <c r="D114">
        <v>15</v>
      </c>
      <c r="E114">
        <v>15</v>
      </c>
      <c r="F114">
        <v>13</v>
      </c>
      <c r="G114">
        <v>13</v>
      </c>
      <c r="H114">
        <v>13</v>
      </c>
      <c r="I114">
        <v>9</v>
      </c>
      <c r="J114">
        <v>12.6</v>
      </c>
    </row>
    <row r="115" spans="1:10" x14ac:dyDescent="0.45">
      <c r="A115" t="s">
        <v>357</v>
      </c>
      <c r="B115">
        <v>14</v>
      </c>
      <c r="C115">
        <v>14</v>
      </c>
      <c r="D115">
        <v>13</v>
      </c>
      <c r="E115">
        <v>11</v>
      </c>
      <c r="F115">
        <v>15</v>
      </c>
      <c r="G115">
        <v>15</v>
      </c>
      <c r="H115">
        <v>9</v>
      </c>
      <c r="I115">
        <v>14</v>
      </c>
      <c r="J115">
        <v>13.1</v>
      </c>
    </row>
    <row r="116" spans="1:10" x14ac:dyDescent="0.45">
      <c r="A116" t="s">
        <v>361</v>
      </c>
      <c r="B116">
        <v>17</v>
      </c>
      <c r="C116">
        <v>15</v>
      </c>
      <c r="D116">
        <v>14</v>
      </c>
      <c r="E116">
        <v>14</v>
      </c>
      <c r="F116">
        <v>16</v>
      </c>
      <c r="G116">
        <v>18</v>
      </c>
      <c r="H116">
        <v>18</v>
      </c>
      <c r="I116">
        <v>19</v>
      </c>
      <c r="J116">
        <v>16.399999999999999</v>
      </c>
    </row>
    <row r="117" spans="1:10" x14ac:dyDescent="0.45">
      <c r="A117" t="s">
        <v>581</v>
      </c>
      <c r="B117">
        <v>15</v>
      </c>
      <c r="C117">
        <v>17</v>
      </c>
      <c r="D117">
        <v>16</v>
      </c>
      <c r="E117">
        <v>13</v>
      </c>
      <c r="F117">
        <v>17</v>
      </c>
      <c r="G117">
        <v>14</v>
      </c>
      <c r="H117">
        <v>24</v>
      </c>
      <c r="I117">
        <v>17</v>
      </c>
      <c r="J117">
        <v>16.600000000000001</v>
      </c>
    </row>
    <row r="118" spans="1:10" x14ac:dyDescent="0.45">
      <c r="A118" t="s">
        <v>351</v>
      </c>
      <c r="B118">
        <v>16</v>
      </c>
      <c r="C118">
        <v>21</v>
      </c>
      <c r="D118">
        <v>18</v>
      </c>
      <c r="E118">
        <v>18</v>
      </c>
      <c r="F118">
        <v>18</v>
      </c>
      <c r="G118">
        <v>16</v>
      </c>
      <c r="H118">
        <v>19</v>
      </c>
      <c r="I118">
        <v>15</v>
      </c>
      <c r="J118">
        <v>17.600000000000001</v>
      </c>
    </row>
    <row r="119" spans="1:10" x14ac:dyDescent="0.45">
      <c r="A119" t="s">
        <v>430</v>
      </c>
      <c r="B119">
        <v>18</v>
      </c>
      <c r="C119">
        <v>20</v>
      </c>
      <c r="D119">
        <v>19</v>
      </c>
      <c r="E119">
        <v>17</v>
      </c>
      <c r="F119">
        <v>20</v>
      </c>
      <c r="G119">
        <v>19</v>
      </c>
      <c r="H119">
        <v>16</v>
      </c>
      <c r="I119">
        <v>22</v>
      </c>
      <c r="J119">
        <v>18.899999999999999</v>
      </c>
    </row>
    <row r="120" spans="1:10" x14ac:dyDescent="0.45">
      <c r="A120" t="s">
        <v>582</v>
      </c>
      <c r="B120">
        <v>19</v>
      </c>
      <c r="C120">
        <v>18</v>
      </c>
      <c r="D120">
        <v>24</v>
      </c>
      <c r="E120">
        <v>21</v>
      </c>
      <c r="F120">
        <v>14</v>
      </c>
      <c r="G120">
        <v>17</v>
      </c>
      <c r="H120">
        <v>17</v>
      </c>
      <c r="I120">
        <v>23</v>
      </c>
      <c r="J120">
        <v>19.100000000000001</v>
      </c>
    </row>
    <row r="121" spans="1:10" x14ac:dyDescent="0.45">
      <c r="A121" t="s">
        <v>392</v>
      </c>
      <c r="B121">
        <v>22</v>
      </c>
      <c r="C121">
        <v>23</v>
      </c>
      <c r="D121">
        <v>20</v>
      </c>
      <c r="E121">
        <v>19</v>
      </c>
      <c r="F121">
        <v>21</v>
      </c>
      <c r="G121">
        <v>23</v>
      </c>
      <c r="H121">
        <v>10</v>
      </c>
      <c r="I121">
        <v>21</v>
      </c>
      <c r="J121">
        <v>19.899999999999999</v>
      </c>
    </row>
    <row r="122" spans="1:10" x14ac:dyDescent="0.45">
      <c r="A122" t="s">
        <v>583</v>
      </c>
      <c r="B122">
        <v>20</v>
      </c>
      <c r="C122">
        <v>19</v>
      </c>
      <c r="D122">
        <v>22</v>
      </c>
      <c r="E122">
        <v>20</v>
      </c>
      <c r="F122">
        <v>19</v>
      </c>
      <c r="G122">
        <v>22</v>
      </c>
      <c r="H122">
        <v>21</v>
      </c>
      <c r="I122">
        <v>24</v>
      </c>
      <c r="J122">
        <v>20.9</v>
      </c>
    </row>
    <row r="123" spans="1:10" x14ac:dyDescent="0.45">
      <c r="A123" t="s">
        <v>387</v>
      </c>
      <c r="B123">
        <v>24</v>
      </c>
      <c r="C123">
        <v>22</v>
      </c>
      <c r="D123">
        <v>17</v>
      </c>
      <c r="E123">
        <v>22</v>
      </c>
      <c r="F123">
        <v>23</v>
      </c>
      <c r="G123">
        <v>20</v>
      </c>
      <c r="H123">
        <v>23</v>
      </c>
      <c r="I123">
        <v>16</v>
      </c>
      <c r="J123">
        <v>20.9</v>
      </c>
    </row>
    <row r="124" spans="1:10" x14ac:dyDescent="0.45">
      <c r="A124" t="s">
        <v>364</v>
      </c>
      <c r="B124">
        <v>23</v>
      </c>
      <c r="C124">
        <v>24</v>
      </c>
      <c r="D124">
        <v>21</v>
      </c>
      <c r="E124">
        <v>23</v>
      </c>
      <c r="F124">
        <v>22</v>
      </c>
      <c r="G124">
        <v>24</v>
      </c>
      <c r="H124">
        <v>20</v>
      </c>
      <c r="I124">
        <v>18</v>
      </c>
      <c r="J124">
        <v>21.9</v>
      </c>
    </row>
    <row r="125" spans="1:10" x14ac:dyDescent="0.45">
      <c r="A125" t="s">
        <v>345</v>
      </c>
      <c r="B125">
        <v>21</v>
      </c>
      <c r="C125">
        <v>16</v>
      </c>
      <c r="D125">
        <v>26</v>
      </c>
      <c r="E125">
        <v>26</v>
      </c>
      <c r="F125">
        <v>35</v>
      </c>
      <c r="G125">
        <v>21</v>
      </c>
      <c r="H125">
        <v>22</v>
      </c>
      <c r="I125">
        <v>20</v>
      </c>
      <c r="J125">
        <v>23.4</v>
      </c>
    </row>
    <row r="126" spans="1:10" x14ac:dyDescent="0.45">
      <c r="A126" t="s">
        <v>369</v>
      </c>
      <c r="B126">
        <v>25</v>
      </c>
      <c r="C126">
        <v>26</v>
      </c>
      <c r="D126">
        <v>23</v>
      </c>
      <c r="E126">
        <v>24</v>
      </c>
      <c r="F126">
        <v>24</v>
      </c>
      <c r="G126">
        <v>25</v>
      </c>
      <c r="H126">
        <v>26</v>
      </c>
      <c r="I126">
        <v>25</v>
      </c>
      <c r="J126">
        <v>24.8</v>
      </c>
    </row>
    <row r="127" spans="1:10" x14ac:dyDescent="0.45">
      <c r="A127" t="s">
        <v>353</v>
      </c>
      <c r="B127">
        <v>26</v>
      </c>
      <c r="C127">
        <v>25</v>
      </c>
      <c r="D127">
        <v>27</v>
      </c>
      <c r="E127">
        <v>25</v>
      </c>
      <c r="F127">
        <v>26</v>
      </c>
      <c r="G127">
        <v>26</v>
      </c>
      <c r="H127">
        <v>34</v>
      </c>
      <c r="I127">
        <v>27</v>
      </c>
      <c r="J127">
        <v>27</v>
      </c>
    </row>
    <row r="128" spans="1:10" x14ac:dyDescent="0.45">
      <c r="A128" t="s">
        <v>354</v>
      </c>
      <c r="B128">
        <v>27</v>
      </c>
      <c r="C128">
        <v>27</v>
      </c>
      <c r="D128">
        <v>25</v>
      </c>
      <c r="E128">
        <v>30</v>
      </c>
      <c r="F128">
        <v>25</v>
      </c>
      <c r="G128">
        <v>27</v>
      </c>
      <c r="H128">
        <v>30</v>
      </c>
      <c r="I128">
        <v>28</v>
      </c>
      <c r="J128">
        <v>27.4</v>
      </c>
    </row>
    <row r="129" spans="1:10" x14ac:dyDescent="0.45">
      <c r="A129" t="s">
        <v>391</v>
      </c>
      <c r="B129">
        <v>28</v>
      </c>
      <c r="C129">
        <v>28</v>
      </c>
      <c r="D129">
        <v>29</v>
      </c>
      <c r="E129">
        <v>27</v>
      </c>
      <c r="F129">
        <v>29</v>
      </c>
      <c r="G129">
        <v>28</v>
      </c>
      <c r="H129">
        <v>28</v>
      </c>
      <c r="I129">
        <v>31</v>
      </c>
      <c r="J129">
        <v>28.5</v>
      </c>
    </row>
    <row r="130" spans="1:10" x14ac:dyDescent="0.45">
      <c r="A130" t="s">
        <v>584</v>
      </c>
      <c r="B130">
        <v>29</v>
      </c>
      <c r="C130">
        <v>30</v>
      </c>
      <c r="D130">
        <v>31</v>
      </c>
      <c r="E130">
        <v>28</v>
      </c>
      <c r="F130">
        <v>32</v>
      </c>
      <c r="G130">
        <v>30</v>
      </c>
      <c r="H130">
        <v>27</v>
      </c>
      <c r="I130">
        <v>35</v>
      </c>
      <c r="J130">
        <v>30.3</v>
      </c>
    </row>
    <row r="131" spans="1:10" x14ac:dyDescent="0.45">
      <c r="A131" t="s">
        <v>385</v>
      </c>
      <c r="B131">
        <v>34</v>
      </c>
      <c r="C131">
        <v>29</v>
      </c>
      <c r="D131">
        <v>28</v>
      </c>
      <c r="E131">
        <v>32</v>
      </c>
      <c r="F131">
        <v>27</v>
      </c>
      <c r="G131">
        <v>29</v>
      </c>
      <c r="H131">
        <v>35</v>
      </c>
      <c r="I131">
        <v>30</v>
      </c>
      <c r="J131">
        <v>30.5</v>
      </c>
    </row>
    <row r="132" spans="1:10" x14ac:dyDescent="0.45">
      <c r="A132" t="s">
        <v>415</v>
      </c>
      <c r="B132">
        <v>31</v>
      </c>
      <c r="C132">
        <v>31</v>
      </c>
      <c r="D132">
        <v>30</v>
      </c>
      <c r="E132">
        <v>37</v>
      </c>
      <c r="F132">
        <v>31</v>
      </c>
      <c r="G132">
        <v>33</v>
      </c>
      <c r="H132">
        <v>25</v>
      </c>
      <c r="I132">
        <v>32</v>
      </c>
      <c r="J132">
        <v>31.3</v>
      </c>
    </row>
    <row r="133" spans="1:10" x14ac:dyDescent="0.45">
      <c r="A133" t="s">
        <v>363</v>
      </c>
      <c r="B133">
        <v>30</v>
      </c>
      <c r="C133">
        <v>33</v>
      </c>
      <c r="D133">
        <v>33</v>
      </c>
      <c r="E133">
        <v>36</v>
      </c>
      <c r="F133">
        <v>28</v>
      </c>
      <c r="G133">
        <v>34</v>
      </c>
      <c r="H133">
        <v>32</v>
      </c>
      <c r="I133">
        <v>33</v>
      </c>
      <c r="J133">
        <v>32.4</v>
      </c>
    </row>
    <row r="134" spans="1:10" x14ac:dyDescent="0.45">
      <c r="A134" t="s">
        <v>428</v>
      </c>
      <c r="B134">
        <v>32</v>
      </c>
      <c r="C134">
        <v>35</v>
      </c>
      <c r="D134">
        <v>32</v>
      </c>
      <c r="E134">
        <v>34</v>
      </c>
      <c r="F134">
        <v>33</v>
      </c>
      <c r="G134">
        <v>36</v>
      </c>
      <c r="H134">
        <v>29</v>
      </c>
      <c r="I134">
        <v>29</v>
      </c>
      <c r="J134">
        <v>32.5</v>
      </c>
    </row>
    <row r="135" spans="1:10" x14ac:dyDescent="0.45">
      <c r="A135" t="s">
        <v>389</v>
      </c>
      <c r="B135">
        <v>35</v>
      </c>
      <c r="C135">
        <v>32</v>
      </c>
      <c r="D135">
        <v>34</v>
      </c>
      <c r="E135">
        <v>33</v>
      </c>
      <c r="F135">
        <v>34</v>
      </c>
      <c r="G135">
        <v>32</v>
      </c>
      <c r="H135">
        <v>33</v>
      </c>
      <c r="I135">
        <v>34</v>
      </c>
      <c r="J135">
        <v>33.4</v>
      </c>
    </row>
    <row r="136" spans="1:10" x14ac:dyDescent="0.45">
      <c r="A136" t="s">
        <v>409</v>
      </c>
      <c r="B136">
        <v>33</v>
      </c>
      <c r="C136">
        <v>34</v>
      </c>
      <c r="D136">
        <v>36</v>
      </c>
      <c r="E136">
        <v>29</v>
      </c>
      <c r="F136">
        <v>36</v>
      </c>
      <c r="G136">
        <v>35</v>
      </c>
      <c r="H136">
        <v>38</v>
      </c>
      <c r="I136">
        <v>26</v>
      </c>
      <c r="J136">
        <v>33.4</v>
      </c>
    </row>
    <row r="137" spans="1:10" x14ac:dyDescent="0.45">
      <c r="A137" t="s">
        <v>344</v>
      </c>
      <c r="B137">
        <v>36</v>
      </c>
      <c r="C137">
        <v>36</v>
      </c>
      <c r="D137">
        <v>35</v>
      </c>
      <c r="E137">
        <v>39</v>
      </c>
      <c r="F137">
        <v>30</v>
      </c>
      <c r="G137">
        <v>31</v>
      </c>
      <c r="H137">
        <v>31</v>
      </c>
      <c r="I137">
        <v>37</v>
      </c>
      <c r="J137">
        <v>34.4</v>
      </c>
    </row>
    <row r="138" spans="1:10" x14ac:dyDescent="0.45">
      <c r="A138" t="s">
        <v>419</v>
      </c>
      <c r="B138">
        <v>37</v>
      </c>
      <c r="C138">
        <v>39</v>
      </c>
      <c r="D138">
        <v>41</v>
      </c>
      <c r="E138">
        <v>40</v>
      </c>
      <c r="F138">
        <v>37</v>
      </c>
      <c r="G138">
        <v>40</v>
      </c>
      <c r="H138">
        <v>40</v>
      </c>
      <c r="I138">
        <v>40</v>
      </c>
      <c r="J138">
        <v>39.299999999999997</v>
      </c>
    </row>
    <row r="139" spans="1:10" x14ac:dyDescent="0.45">
      <c r="A139" t="s">
        <v>378</v>
      </c>
      <c r="B139">
        <v>45</v>
      </c>
      <c r="C139">
        <v>40</v>
      </c>
      <c r="D139">
        <v>37</v>
      </c>
      <c r="E139">
        <v>31</v>
      </c>
      <c r="F139">
        <v>42</v>
      </c>
      <c r="G139">
        <v>41</v>
      </c>
      <c r="H139">
        <v>39</v>
      </c>
      <c r="I139">
        <v>41</v>
      </c>
      <c r="J139">
        <v>39.5</v>
      </c>
    </row>
    <row r="140" spans="1:10" x14ac:dyDescent="0.45">
      <c r="A140" t="s">
        <v>365</v>
      </c>
      <c r="B140">
        <v>39</v>
      </c>
      <c r="C140">
        <v>38</v>
      </c>
      <c r="D140">
        <v>43</v>
      </c>
      <c r="E140">
        <v>43</v>
      </c>
      <c r="F140">
        <v>40</v>
      </c>
      <c r="G140">
        <v>38</v>
      </c>
      <c r="H140">
        <v>41</v>
      </c>
      <c r="I140">
        <v>38</v>
      </c>
      <c r="J140">
        <v>40</v>
      </c>
    </row>
    <row r="141" spans="1:10" x14ac:dyDescent="0.45">
      <c r="A141" t="s">
        <v>367</v>
      </c>
      <c r="B141">
        <v>42</v>
      </c>
      <c r="C141">
        <v>41</v>
      </c>
      <c r="D141">
        <v>38</v>
      </c>
      <c r="E141">
        <v>42</v>
      </c>
      <c r="F141">
        <v>41</v>
      </c>
      <c r="G141">
        <v>39</v>
      </c>
      <c r="H141">
        <v>42</v>
      </c>
      <c r="I141">
        <v>39</v>
      </c>
      <c r="J141">
        <v>40.5</v>
      </c>
    </row>
    <row r="142" spans="1:10" x14ac:dyDescent="0.45">
      <c r="A142" t="s">
        <v>394</v>
      </c>
      <c r="B142">
        <v>40</v>
      </c>
      <c r="C142">
        <v>51</v>
      </c>
      <c r="D142">
        <v>42</v>
      </c>
      <c r="E142">
        <v>38</v>
      </c>
      <c r="F142">
        <v>48</v>
      </c>
      <c r="G142">
        <v>37</v>
      </c>
      <c r="H142">
        <v>36</v>
      </c>
      <c r="I142">
        <v>36</v>
      </c>
      <c r="J142">
        <v>41</v>
      </c>
    </row>
    <row r="143" spans="1:10" x14ac:dyDescent="0.45">
      <c r="A143" t="s">
        <v>356</v>
      </c>
      <c r="B143">
        <v>38</v>
      </c>
      <c r="C143">
        <v>37</v>
      </c>
      <c r="D143">
        <v>39</v>
      </c>
      <c r="E143">
        <v>41</v>
      </c>
      <c r="F143">
        <v>39</v>
      </c>
      <c r="G143">
        <v>43</v>
      </c>
      <c r="H143">
        <v>46</v>
      </c>
      <c r="I143">
        <v>46</v>
      </c>
      <c r="J143">
        <v>41.1</v>
      </c>
    </row>
    <row r="144" spans="1:10" x14ac:dyDescent="0.45">
      <c r="A144" t="s">
        <v>489</v>
      </c>
      <c r="B144">
        <v>46</v>
      </c>
      <c r="C144">
        <v>49</v>
      </c>
      <c r="D144">
        <v>44</v>
      </c>
      <c r="E144">
        <v>35</v>
      </c>
      <c r="F144">
        <v>49</v>
      </c>
      <c r="G144">
        <v>44</v>
      </c>
      <c r="H144">
        <v>37</v>
      </c>
      <c r="I144">
        <v>44</v>
      </c>
      <c r="J144">
        <v>43.5</v>
      </c>
    </row>
    <row r="145" spans="1:10" x14ac:dyDescent="0.45">
      <c r="A145" t="s">
        <v>395</v>
      </c>
      <c r="B145">
        <v>47</v>
      </c>
      <c r="C145">
        <v>43</v>
      </c>
      <c r="D145">
        <v>40</v>
      </c>
      <c r="E145">
        <v>44</v>
      </c>
      <c r="F145">
        <v>43</v>
      </c>
      <c r="G145">
        <v>46</v>
      </c>
      <c r="H145">
        <v>43</v>
      </c>
      <c r="I145">
        <v>47</v>
      </c>
      <c r="J145">
        <v>44.1</v>
      </c>
    </row>
    <row r="146" spans="1:10" x14ac:dyDescent="0.45">
      <c r="A146" t="s">
        <v>371</v>
      </c>
      <c r="B146">
        <v>43</v>
      </c>
      <c r="C146">
        <v>42</v>
      </c>
      <c r="D146">
        <v>45</v>
      </c>
      <c r="E146">
        <v>46</v>
      </c>
      <c r="F146">
        <v>44</v>
      </c>
      <c r="G146">
        <v>49</v>
      </c>
      <c r="H146">
        <v>44</v>
      </c>
      <c r="I146">
        <v>45</v>
      </c>
      <c r="J146">
        <v>44.8</v>
      </c>
    </row>
    <row r="147" spans="1:10" x14ac:dyDescent="0.45">
      <c r="A147" t="s">
        <v>359</v>
      </c>
      <c r="B147">
        <v>41</v>
      </c>
      <c r="C147">
        <v>44</v>
      </c>
      <c r="D147" t="s">
        <v>575</v>
      </c>
      <c r="E147">
        <v>45</v>
      </c>
      <c r="F147">
        <v>38</v>
      </c>
      <c r="G147">
        <v>47</v>
      </c>
      <c r="H147">
        <v>50</v>
      </c>
      <c r="I147">
        <v>42</v>
      </c>
      <c r="J147">
        <v>46</v>
      </c>
    </row>
    <row r="148" spans="1:10" x14ac:dyDescent="0.45">
      <c r="A148" t="s">
        <v>438</v>
      </c>
      <c r="B148">
        <v>44</v>
      </c>
      <c r="C148">
        <v>50</v>
      </c>
      <c r="D148">
        <v>46</v>
      </c>
      <c r="E148">
        <v>48</v>
      </c>
      <c r="F148">
        <v>52</v>
      </c>
      <c r="G148">
        <v>42</v>
      </c>
      <c r="H148">
        <v>45</v>
      </c>
      <c r="I148">
        <v>48</v>
      </c>
      <c r="J148">
        <v>46.9</v>
      </c>
    </row>
    <row r="149" spans="1:10" x14ac:dyDescent="0.45">
      <c r="A149" t="s">
        <v>453</v>
      </c>
      <c r="B149">
        <v>48</v>
      </c>
      <c r="C149">
        <v>48</v>
      </c>
      <c r="D149">
        <v>55</v>
      </c>
      <c r="E149">
        <v>49</v>
      </c>
      <c r="F149">
        <v>53</v>
      </c>
      <c r="G149">
        <v>45</v>
      </c>
      <c r="H149">
        <v>52</v>
      </c>
      <c r="I149">
        <v>43</v>
      </c>
      <c r="J149">
        <v>49.1</v>
      </c>
    </row>
    <row r="150" spans="1:10" x14ac:dyDescent="0.45">
      <c r="A150" t="s">
        <v>376</v>
      </c>
      <c r="B150">
        <v>49</v>
      </c>
      <c r="C150">
        <v>47</v>
      </c>
      <c r="D150">
        <v>51</v>
      </c>
      <c r="E150">
        <v>52</v>
      </c>
      <c r="F150">
        <v>50</v>
      </c>
      <c r="G150">
        <v>51</v>
      </c>
      <c r="H150">
        <v>48</v>
      </c>
      <c r="I150">
        <v>51</v>
      </c>
      <c r="J150">
        <v>49.9</v>
      </c>
    </row>
    <row r="151" spans="1:10" x14ac:dyDescent="0.45">
      <c r="A151" t="s">
        <v>585</v>
      </c>
      <c r="B151">
        <v>51</v>
      </c>
      <c r="C151">
        <v>46</v>
      </c>
      <c r="D151">
        <v>47</v>
      </c>
      <c r="E151">
        <v>51</v>
      </c>
      <c r="F151">
        <v>46</v>
      </c>
      <c r="G151">
        <v>54</v>
      </c>
      <c r="H151">
        <v>51</v>
      </c>
      <c r="I151">
        <v>57</v>
      </c>
      <c r="J151">
        <v>50.4</v>
      </c>
    </row>
    <row r="152" spans="1:10" x14ac:dyDescent="0.45">
      <c r="A152" t="s">
        <v>417</v>
      </c>
      <c r="B152">
        <v>52</v>
      </c>
      <c r="C152">
        <v>45</v>
      </c>
      <c r="D152">
        <v>52</v>
      </c>
      <c r="E152">
        <v>53</v>
      </c>
      <c r="F152">
        <v>45</v>
      </c>
      <c r="G152">
        <v>48</v>
      </c>
      <c r="H152">
        <v>54</v>
      </c>
      <c r="I152">
        <v>56</v>
      </c>
      <c r="J152">
        <v>50.6</v>
      </c>
    </row>
    <row r="153" spans="1:10" x14ac:dyDescent="0.45">
      <c r="A153" t="s">
        <v>362</v>
      </c>
      <c r="B153">
        <v>50</v>
      </c>
      <c r="C153">
        <v>52</v>
      </c>
      <c r="D153">
        <v>54</v>
      </c>
      <c r="E153">
        <v>50</v>
      </c>
      <c r="F153">
        <v>47</v>
      </c>
      <c r="G153">
        <v>50</v>
      </c>
      <c r="H153">
        <v>55</v>
      </c>
      <c r="I153">
        <v>52</v>
      </c>
      <c r="J153">
        <v>51.3</v>
      </c>
    </row>
    <row r="154" spans="1:10" x14ac:dyDescent="0.45">
      <c r="A154" t="s">
        <v>366</v>
      </c>
      <c r="B154">
        <v>54</v>
      </c>
      <c r="C154">
        <v>53</v>
      </c>
      <c r="D154">
        <v>49</v>
      </c>
      <c r="E154">
        <v>54</v>
      </c>
      <c r="F154">
        <v>51</v>
      </c>
      <c r="G154">
        <v>52</v>
      </c>
      <c r="H154">
        <v>57</v>
      </c>
      <c r="I154">
        <v>54</v>
      </c>
      <c r="J154">
        <v>53</v>
      </c>
    </row>
    <row r="155" spans="1:10" x14ac:dyDescent="0.45">
      <c r="A155" t="s">
        <v>360</v>
      </c>
      <c r="B155">
        <v>53</v>
      </c>
      <c r="C155">
        <v>57</v>
      </c>
      <c r="D155">
        <v>48</v>
      </c>
      <c r="E155">
        <v>47</v>
      </c>
      <c r="F155">
        <v>56</v>
      </c>
      <c r="G155">
        <v>55</v>
      </c>
      <c r="H155">
        <v>49</v>
      </c>
      <c r="I155">
        <v>60</v>
      </c>
      <c r="J155">
        <v>53.1</v>
      </c>
    </row>
    <row r="156" spans="1:10" x14ac:dyDescent="0.45">
      <c r="A156" t="s">
        <v>451</v>
      </c>
      <c r="B156">
        <v>55</v>
      </c>
      <c r="C156">
        <v>56</v>
      </c>
      <c r="D156">
        <v>50</v>
      </c>
      <c r="E156">
        <v>55</v>
      </c>
      <c r="F156">
        <v>58</v>
      </c>
      <c r="G156">
        <v>57</v>
      </c>
      <c r="H156">
        <v>47</v>
      </c>
      <c r="I156">
        <v>55</v>
      </c>
      <c r="J156">
        <v>54.1</v>
      </c>
    </row>
    <row r="157" spans="1:10" x14ac:dyDescent="0.45">
      <c r="A157" t="s">
        <v>396</v>
      </c>
      <c r="B157">
        <v>57</v>
      </c>
      <c r="C157">
        <v>55</v>
      </c>
      <c r="D157">
        <v>56</v>
      </c>
      <c r="E157" t="s">
        <v>575</v>
      </c>
      <c r="F157">
        <v>54</v>
      </c>
      <c r="G157">
        <v>53</v>
      </c>
      <c r="H157">
        <v>56</v>
      </c>
      <c r="I157">
        <v>50</v>
      </c>
      <c r="J157">
        <v>55.3</v>
      </c>
    </row>
    <row r="158" spans="1:10" x14ac:dyDescent="0.45">
      <c r="A158" t="s">
        <v>586</v>
      </c>
      <c r="B158">
        <v>56</v>
      </c>
      <c r="C158">
        <v>54</v>
      </c>
      <c r="D158">
        <v>53</v>
      </c>
      <c r="E158">
        <v>56</v>
      </c>
      <c r="F158">
        <v>55</v>
      </c>
      <c r="G158">
        <v>56</v>
      </c>
      <c r="H158">
        <v>58</v>
      </c>
      <c r="I158" t="s">
        <v>575</v>
      </c>
      <c r="J158">
        <v>56.1</v>
      </c>
    </row>
    <row r="159" spans="1:10" x14ac:dyDescent="0.45">
      <c r="A159" t="s">
        <v>407</v>
      </c>
      <c r="B159">
        <v>59</v>
      </c>
      <c r="C159">
        <v>58</v>
      </c>
      <c r="D159">
        <v>57</v>
      </c>
      <c r="E159">
        <v>59</v>
      </c>
      <c r="F159">
        <v>57</v>
      </c>
      <c r="G159">
        <v>58</v>
      </c>
      <c r="H159" t="s">
        <v>575</v>
      </c>
      <c r="I159">
        <v>58</v>
      </c>
      <c r="J159">
        <v>58.4</v>
      </c>
    </row>
    <row r="160" spans="1:10" x14ac:dyDescent="0.45">
      <c r="A160" t="s">
        <v>382</v>
      </c>
      <c r="B160" t="s">
        <v>575</v>
      </c>
      <c r="C160">
        <v>60</v>
      </c>
      <c r="D160">
        <v>60</v>
      </c>
      <c r="E160">
        <v>60</v>
      </c>
      <c r="F160" t="s">
        <v>575</v>
      </c>
      <c r="G160">
        <v>60</v>
      </c>
      <c r="H160" t="s">
        <v>575</v>
      </c>
      <c r="I160">
        <v>49</v>
      </c>
      <c r="J160">
        <v>59</v>
      </c>
    </row>
    <row r="161" spans="1:10" x14ac:dyDescent="0.45">
      <c r="A161" t="s">
        <v>587</v>
      </c>
      <c r="B161">
        <v>58</v>
      </c>
      <c r="C161" t="s">
        <v>575</v>
      </c>
      <c r="D161" t="s">
        <v>575</v>
      </c>
      <c r="E161">
        <v>57</v>
      </c>
      <c r="F161" t="s">
        <v>575</v>
      </c>
      <c r="G161" t="s">
        <v>575</v>
      </c>
      <c r="H161">
        <v>53</v>
      </c>
      <c r="I161" t="s">
        <v>575</v>
      </c>
      <c r="J161">
        <v>59.1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30FA-C2E6-44CB-A352-77C26041C9C6}">
  <dimension ref="A1:V554"/>
  <sheetViews>
    <sheetView tabSelected="1" workbookViewId="0">
      <selection activeCell="S5" sqref="S5"/>
    </sheetView>
  </sheetViews>
  <sheetFormatPr defaultRowHeight="14.25" x14ac:dyDescent="0.45"/>
  <cols>
    <col min="1" max="1" width="23.53125" style="1" bestFit="1" customWidth="1"/>
    <col min="2" max="2" width="6" style="1" bestFit="1" customWidth="1"/>
    <col min="3" max="3" width="15.6640625" style="1" bestFit="1" customWidth="1"/>
    <col min="4" max="4" width="6.9296875" bestFit="1" customWidth="1"/>
    <col min="5" max="5" width="11.73046875" bestFit="1" customWidth="1"/>
    <col min="6" max="6" width="11.265625" bestFit="1" customWidth="1"/>
    <col min="7" max="7" width="10.46484375" bestFit="1" customWidth="1"/>
    <col min="8" max="8" width="8.33203125" bestFit="1" customWidth="1"/>
    <col min="9" max="9" width="6.19921875" bestFit="1" customWidth="1"/>
    <col min="10" max="10" width="10.33203125" bestFit="1" customWidth="1"/>
    <col min="11" max="11" width="7.1328125" bestFit="1" customWidth="1"/>
    <col min="12" max="12" width="9.33203125" bestFit="1" customWidth="1"/>
    <col min="13" max="13" width="6.3984375" bestFit="1" customWidth="1"/>
    <col min="14" max="14" width="8.46484375" bestFit="1" customWidth="1"/>
    <col min="15" max="15" width="7.1328125" bestFit="1" customWidth="1"/>
    <col min="16" max="16" width="6.33203125" bestFit="1" customWidth="1"/>
    <col min="17" max="21" width="3.1328125" customWidth="1"/>
    <col min="22" max="22" width="3.46484375" bestFit="1" customWidth="1"/>
  </cols>
  <sheetData>
    <row r="1" spans="1:22" s="6" customFormat="1" x14ac:dyDescent="0.45">
      <c r="A1" s="4" t="s">
        <v>0</v>
      </c>
      <c r="B1" s="4" t="s">
        <v>1</v>
      </c>
      <c r="C1" s="5" t="s">
        <v>2</v>
      </c>
      <c r="D1" s="6" t="s">
        <v>3</v>
      </c>
      <c r="E1" s="6" t="s">
        <v>588</v>
      </c>
      <c r="F1" s="6" t="s">
        <v>590</v>
      </c>
      <c r="G1" s="6" t="s">
        <v>591</v>
      </c>
      <c r="H1" s="6" t="s">
        <v>566</v>
      </c>
      <c r="I1" s="6" t="s">
        <v>567</v>
      </c>
      <c r="J1" s="6" t="s">
        <v>568</v>
      </c>
      <c r="K1" s="6" t="s">
        <v>569</v>
      </c>
      <c r="L1" s="6" t="s">
        <v>570</v>
      </c>
      <c r="M1" s="6" t="s">
        <v>571</v>
      </c>
      <c r="N1" s="6" t="s">
        <v>572</v>
      </c>
      <c r="O1" s="6" t="s">
        <v>573</v>
      </c>
      <c r="P1" s="6" t="s">
        <v>574</v>
      </c>
      <c r="V1" s="7" t="s">
        <v>589</v>
      </c>
    </row>
    <row r="2" spans="1:22" x14ac:dyDescent="0.45">
      <c r="A2" s="1" t="s">
        <v>4</v>
      </c>
      <c r="B2" s="1" t="s">
        <v>5</v>
      </c>
      <c r="C2" s="1">
        <f>INDEX(T_Performances,MATCH($A2,T_Names,0))</f>
        <v>15</v>
      </c>
      <c r="D2">
        <v>430.38</v>
      </c>
      <c r="E2" s="1">
        <f>INDEX(T_Avg_PPG,MATCH($A2,T_Names,0))</f>
        <v>25.316470588235294</v>
      </c>
      <c r="F2">
        <f>1+COUNTIFS(T_Total,"&gt;"&amp;D2,T_Pos,$B2)</f>
        <v>1</v>
      </c>
      <c r="G2">
        <f>1+COUNTIFS(T_Avg_PPG,"&gt;"&amp;E2,T_Pos,$B2)</f>
        <v>1</v>
      </c>
      <c r="H2">
        <f>_xlfn.IFNA(VLOOKUP($A2,PredictionTable,MATCH(H$1,Analysts,0),FALSE),60)</f>
        <v>3</v>
      </c>
      <c r="I2">
        <f>_xlfn.IFNA(VLOOKUP($A2,PredictionTable,MATCH(I$1,Analysts,0),FALSE),60)</f>
        <v>3</v>
      </c>
      <c r="J2">
        <f>_xlfn.IFNA(VLOOKUP($A2,PredictionTable,MATCH(J$1,Analysts,0),FALSE),60)</f>
        <v>4</v>
      </c>
      <c r="K2">
        <f>_xlfn.IFNA(VLOOKUP($A2,PredictionTable,MATCH(K$1,Analysts,0),FALSE),60)</f>
        <v>4</v>
      </c>
      <c r="L2">
        <f>_xlfn.IFNA(VLOOKUP($A2,PredictionTable,MATCH(L$1,Analysts,0),FALSE),60)</f>
        <v>4</v>
      </c>
      <c r="M2">
        <f>_xlfn.IFNA(VLOOKUP($A2,PredictionTable,MATCH(M$1,Analysts,0),FALSE),60)</f>
        <v>3</v>
      </c>
      <c r="N2">
        <f>_xlfn.IFNA(VLOOKUP($A2,PredictionTable,MATCH(N$1,Analysts,0),FALSE),60)</f>
        <v>3</v>
      </c>
      <c r="O2">
        <f>_xlfn.IFNA(VLOOKUP($A2,PredictionTable,MATCH(O$1,Analysts,0),FALSE),60)</f>
        <v>5</v>
      </c>
      <c r="P2">
        <f>_xlfn.IFNA(VLOOKUP($A2,PredictionTable,MATCH(P$1,Analysts,0),FALSE),60)</f>
        <v>3.6</v>
      </c>
      <c r="V2" s="7" t="s">
        <v>589</v>
      </c>
    </row>
    <row r="3" spans="1:22" x14ac:dyDescent="0.45">
      <c r="A3" s="1" t="s">
        <v>6</v>
      </c>
      <c r="B3" s="1" t="s">
        <v>5</v>
      </c>
      <c r="C3" s="1">
        <f>INDEX(T_Performances,MATCH($A3,T_Names,0))</f>
        <v>14</v>
      </c>
      <c r="D3">
        <v>365.8</v>
      </c>
      <c r="E3" s="1">
        <f>INDEX(T_Avg_PPG,MATCH($A3,T_Names,0))</f>
        <v>21.517647058823531</v>
      </c>
      <c r="F3">
        <f>1+COUNTIFS(T_Total,"&gt;"&amp;D3,T_Pos,$B3)</f>
        <v>4</v>
      </c>
      <c r="G3">
        <f>1+COUNTIFS(T_Avg_PPG,"&gt;"&amp;E3,T_Pos,$B3)</f>
        <v>5</v>
      </c>
      <c r="H3">
        <f>_xlfn.IFNA(VLOOKUP($A3,PredictionTable,MATCH(H$1,Analysts,0),FALSE),60)</f>
        <v>22</v>
      </c>
      <c r="I3">
        <f>_xlfn.IFNA(VLOOKUP($A3,PredictionTable,MATCH(I$1,Analysts,0),FALSE),60)</f>
        <v>24</v>
      </c>
      <c r="J3">
        <f>_xlfn.IFNA(VLOOKUP($A3,PredictionTable,MATCH(J$1,Analysts,0),FALSE),60)</f>
        <v>22</v>
      </c>
      <c r="K3">
        <f>_xlfn.IFNA(VLOOKUP($A3,PredictionTable,MATCH(K$1,Analysts,0),FALSE),60)</f>
        <v>23</v>
      </c>
      <c r="L3">
        <f>_xlfn.IFNA(VLOOKUP($A3,PredictionTable,MATCH(L$1,Analysts,0),FALSE),60)</f>
        <v>21</v>
      </c>
      <c r="M3">
        <f>_xlfn.IFNA(VLOOKUP($A3,PredictionTable,MATCH(M$1,Analysts,0),FALSE),60)</f>
        <v>23</v>
      </c>
      <c r="N3">
        <f>_xlfn.IFNA(VLOOKUP($A3,PredictionTable,MATCH(N$1,Analysts,0),FALSE),60)</f>
        <v>25</v>
      </c>
      <c r="O3">
        <f>_xlfn.IFNA(VLOOKUP($A3,PredictionTable,MATCH(O$1,Analysts,0),FALSE),60)</f>
        <v>25</v>
      </c>
      <c r="P3">
        <f>_xlfn.IFNA(VLOOKUP($A3,PredictionTable,MATCH(P$1,Analysts,0),FALSE),60)</f>
        <v>23.1</v>
      </c>
      <c r="V3" s="7" t="s">
        <v>589</v>
      </c>
    </row>
    <row r="4" spans="1:22" x14ac:dyDescent="0.45">
      <c r="A4" s="1" t="s">
        <v>7</v>
      </c>
      <c r="B4" s="1" t="s">
        <v>5</v>
      </c>
      <c r="C4" s="1">
        <f>INDEX(T_Performances,MATCH($A4,T_Names,0))</f>
        <v>11</v>
      </c>
      <c r="D4">
        <v>372.82</v>
      </c>
      <c r="E4" s="1">
        <f>INDEX(T_Avg_PPG,MATCH($A4,T_Names,0))</f>
        <v>21.930588235294117</v>
      </c>
      <c r="F4">
        <f>1+COUNTIFS(T_Total,"&gt;"&amp;D4,T_Pos,$B4)</f>
        <v>3</v>
      </c>
      <c r="G4">
        <f>1+COUNTIFS(T_Avg_PPG,"&gt;"&amp;E4,T_Pos,$B4)</f>
        <v>4</v>
      </c>
      <c r="H4">
        <f>_xlfn.IFNA(VLOOKUP($A4,PredictionTable,MATCH(H$1,Analysts,0),FALSE),60)</f>
        <v>5</v>
      </c>
      <c r="I4">
        <f>_xlfn.IFNA(VLOOKUP($A4,PredictionTable,MATCH(I$1,Analysts,0),FALSE),60)</f>
        <v>7</v>
      </c>
      <c r="J4">
        <f>_xlfn.IFNA(VLOOKUP($A4,PredictionTable,MATCH(J$1,Analysts,0),FALSE),60)</f>
        <v>6</v>
      </c>
      <c r="K4">
        <f>_xlfn.IFNA(VLOOKUP($A4,PredictionTable,MATCH(K$1,Analysts,0),FALSE),60)</f>
        <v>9</v>
      </c>
      <c r="L4">
        <f>_xlfn.IFNA(VLOOKUP($A4,PredictionTable,MATCH(L$1,Analysts,0),FALSE),60)</f>
        <v>6</v>
      </c>
      <c r="M4">
        <f>_xlfn.IFNA(VLOOKUP($A4,PredictionTable,MATCH(M$1,Analysts,0),FALSE),60)</f>
        <v>7</v>
      </c>
      <c r="N4">
        <f>_xlfn.IFNA(VLOOKUP($A4,PredictionTable,MATCH(N$1,Analysts,0),FALSE),60)</f>
        <v>9</v>
      </c>
      <c r="O4">
        <f>_xlfn.IFNA(VLOOKUP($A4,PredictionTable,MATCH(O$1,Analysts,0),FALSE),60)</f>
        <v>6</v>
      </c>
      <c r="P4">
        <f>_xlfn.IFNA(VLOOKUP($A4,PredictionTable,MATCH(P$1,Analysts,0),FALSE),60)</f>
        <v>6.9</v>
      </c>
      <c r="V4" s="7" t="s">
        <v>589</v>
      </c>
    </row>
    <row r="5" spans="1:22" x14ac:dyDescent="0.45">
      <c r="A5" s="1" t="s">
        <v>8</v>
      </c>
      <c r="B5" s="1" t="s">
        <v>5</v>
      </c>
      <c r="C5" s="1">
        <f>INDEX(T_Performances,MATCH($A5,T_Names,0))</f>
        <v>10</v>
      </c>
      <c r="D5">
        <v>315.12</v>
      </c>
      <c r="E5" s="1">
        <f>INDEX(T_Avg_PPG,MATCH($A5,T_Names,0))</f>
        <v>21.007999999999999</v>
      </c>
      <c r="F5">
        <f>1+COUNTIFS(T_Total,"&gt;"&amp;D5,T_Pos,$B5)</f>
        <v>8</v>
      </c>
      <c r="G5">
        <f>1+COUNTIFS(T_Avg_PPG,"&gt;"&amp;E5,T_Pos,$B5)</f>
        <v>6</v>
      </c>
      <c r="H5">
        <f>_xlfn.IFNA(VLOOKUP($A5,PredictionTable,MATCH(H$1,Analysts,0),FALSE),60)</f>
        <v>2</v>
      </c>
      <c r="I5">
        <f>_xlfn.IFNA(VLOOKUP($A5,PredictionTable,MATCH(I$1,Analysts,0),FALSE),60)</f>
        <v>2</v>
      </c>
      <c r="J5">
        <f>_xlfn.IFNA(VLOOKUP($A5,PredictionTable,MATCH(J$1,Analysts,0),FALSE),60)</f>
        <v>2</v>
      </c>
      <c r="K5">
        <f>_xlfn.IFNA(VLOOKUP($A5,PredictionTable,MATCH(K$1,Analysts,0),FALSE),60)</f>
        <v>3</v>
      </c>
      <c r="L5">
        <f>_xlfn.IFNA(VLOOKUP($A5,PredictionTable,MATCH(L$1,Analysts,0),FALSE),60)</f>
        <v>2</v>
      </c>
      <c r="M5">
        <f>_xlfn.IFNA(VLOOKUP($A5,PredictionTable,MATCH(M$1,Analysts,0),FALSE),60)</f>
        <v>2</v>
      </c>
      <c r="N5">
        <f>_xlfn.IFNA(VLOOKUP($A5,PredictionTable,MATCH(N$1,Analysts,0),FALSE),60)</f>
        <v>2</v>
      </c>
      <c r="O5">
        <f>_xlfn.IFNA(VLOOKUP($A5,PredictionTable,MATCH(O$1,Analysts,0),FALSE),60)</f>
        <v>2</v>
      </c>
      <c r="P5">
        <f>_xlfn.IFNA(VLOOKUP($A5,PredictionTable,MATCH(P$1,Analysts,0),FALSE),60)</f>
        <v>2.1</v>
      </c>
      <c r="V5" s="7" t="s">
        <v>589</v>
      </c>
    </row>
    <row r="6" spans="1:22" x14ac:dyDescent="0.45">
      <c r="A6" s="1" t="s">
        <v>9</v>
      </c>
      <c r="B6" s="1" t="s">
        <v>5</v>
      </c>
      <c r="C6" s="1">
        <f>INDEX(T_Performances,MATCH($A6,T_Names,0))</f>
        <v>12</v>
      </c>
      <c r="D6">
        <v>379.04</v>
      </c>
      <c r="E6" s="1">
        <f>INDEX(T_Avg_PPG,MATCH($A6,T_Names,0))</f>
        <v>23.69</v>
      </c>
      <c r="F6">
        <f>1+COUNTIFS(T_Total,"&gt;"&amp;D6,T_Pos,$B6)</f>
        <v>2</v>
      </c>
      <c r="G6">
        <f>1+COUNTIFS(T_Avg_PPG,"&gt;"&amp;E6,T_Pos,$B6)</f>
        <v>2</v>
      </c>
      <c r="H6">
        <f>_xlfn.IFNA(VLOOKUP($A6,PredictionTable,MATCH(H$1,Analysts,0),FALSE),60)</f>
        <v>1</v>
      </c>
      <c r="I6">
        <f>_xlfn.IFNA(VLOOKUP($A6,PredictionTable,MATCH(I$1,Analysts,0),FALSE),60)</f>
        <v>1</v>
      </c>
      <c r="J6">
        <f>_xlfn.IFNA(VLOOKUP($A6,PredictionTable,MATCH(J$1,Analysts,0),FALSE),60)</f>
        <v>1</v>
      </c>
      <c r="K6">
        <f>_xlfn.IFNA(VLOOKUP($A6,PredictionTable,MATCH(K$1,Analysts,0),FALSE),60)</f>
        <v>1</v>
      </c>
      <c r="L6">
        <f>_xlfn.IFNA(VLOOKUP($A6,PredictionTable,MATCH(L$1,Analysts,0),FALSE),60)</f>
        <v>1</v>
      </c>
      <c r="M6">
        <f>_xlfn.IFNA(VLOOKUP($A6,PredictionTable,MATCH(M$1,Analysts,0),FALSE),60)</f>
        <v>1</v>
      </c>
      <c r="N6">
        <f>_xlfn.IFNA(VLOOKUP($A6,PredictionTable,MATCH(N$1,Analysts,0),FALSE),60)</f>
        <v>1</v>
      </c>
      <c r="O6">
        <f>_xlfn.IFNA(VLOOKUP($A6,PredictionTable,MATCH(O$1,Analysts,0),FALSE),60)</f>
        <v>1</v>
      </c>
      <c r="P6">
        <f>_xlfn.IFNA(VLOOKUP($A6,PredictionTable,MATCH(P$1,Analysts,0),FALSE),60)</f>
        <v>1</v>
      </c>
      <c r="V6" s="7" t="s">
        <v>589</v>
      </c>
    </row>
    <row r="7" spans="1:22" x14ac:dyDescent="0.45">
      <c r="A7" s="1" t="s">
        <v>10</v>
      </c>
      <c r="B7" s="1" t="s">
        <v>5</v>
      </c>
      <c r="C7" s="1">
        <f>INDEX(T_Performances,MATCH($A7,T_Names,0))</f>
        <v>12</v>
      </c>
      <c r="D7">
        <v>355.82</v>
      </c>
      <c r="E7" s="1">
        <f>INDEX(T_Avg_PPG,MATCH($A7,T_Names,0))</f>
        <v>20.930588235294117</v>
      </c>
      <c r="F7">
        <f>1+COUNTIFS(T_Total,"&gt;"&amp;D7,T_Pos,$B7)</f>
        <v>5</v>
      </c>
      <c r="G7">
        <f>1+COUNTIFS(T_Avg_PPG,"&gt;"&amp;E7,T_Pos,$B7)</f>
        <v>7</v>
      </c>
      <c r="H7">
        <f>_xlfn.IFNA(VLOOKUP($A7,PredictionTable,MATCH(H$1,Analysts,0),FALSE),60)</f>
        <v>13</v>
      </c>
      <c r="I7">
        <f>_xlfn.IFNA(VLOOKUP($A7,PredictionTable,MATCH(I$1,Analysts,0),FALSE),60)</f>
        <v>12</v>
      </c>
      <c r="J7">
        <f>_xlfn.IFNA(VLOOKUP($A7,PredictionTable,MATCH(J$1,Analysts,0),FALSE),60)</f>
        <v>14</v>
      </c>
      <c r="K7">
        <f>_xlfn.IFNA(VLOOKUP($A7,PredictionTable,MATCH(K$1,Analysts,0),FALSE),60)</f>
        <v>12</v>
      </c>
      <c r="L7">
        <f>_xlfn.IFNA(VLOOKUP($A7,PredictionTable,MATCH(L$1,Analysts,0),FALSE),60)</f>
        <v>12</v>
      </c>
      <c r="M7">
        <f>_xlfn.IFNA(VLOOKUP($A7,PredictionTable,MATCH(M$1,Analysts,0),FALSE),60)</f>
        <v>12</v>
      </c>
      <c r="N7">
        <f>_xlfn.IFNA(VLOOKUP($A7,PredictionTable,MATCH(N$1,Analysts,0),FALSE),60)</f>
        <v>12</v>
      </c>
      <c r="O7">
        <f>_xlfn.IFNA(VLOOKUP($A7,PredictionTable,MATCH(O$1,Analysts,0),FALSE),60)</f>
        <v>12</v>
      </c>
      <c r="P7">
        <f>_xlfn.IFNA(VLOOKUP($A7,PredictionTable,MATCH(P$1,Analysts,0),FALSE),60)</f>
        <v>12.4</v>
      </c>
      <c r="V7" s="7" t="s">
        <v>589</v>
      </c>
    </row>
    <row r="8" spans="1:22" x14ac:dyDescent="0.45">
      <c r="A8" s="1" t="s">
        <v>11</v>
      </c>
      <c r="B8" s="1" t="s">
        <v>5</v>
      </c>
      <c r="C8" s="1">
        <f>INDEX(T_Performances,MATCH($A8,T_Names,0))</f>
        <v>11</v>
      </c>
      <c r="D8">
        <v>307.95999999999998</v>
      </c>
      <c r="E8" s="1">
        <f>INDEX(T_Avg_PPG,MATCH($A8,T_Names,0))</f>
        <v>18.115294117647057</v>
      </c>
      <c r="F8">
        <f>1+COUNTIFS(T_Total,"&gt;"&amp;D8,T_Pos,$B8)</f>
        <v>9</v>
      </c>
      <c r="G8">
        <f>1+COUNTIFS(T_Avg_PPG,"&gt;"&amp;E8,T_Pos,$B8)</f>
        <v>13</v>
      </c>
      <c r="H8">
        <f>_xlfn.IFNA(VLOOKUP($A8,PredictionTable,MATCH(H$1,Analysts,0),FALSE),60)</f>
        <v>60</v>
      </c>
      <c r="I8">
        <f>_xlfn.IFNA(VLOOKUP($A8,PredictionTable,MATCH(I$1,Analysts,0),FALSE),60)</f>
        <v>60</v>
      </c>
      <c r="J8">
        <f>_xlfn.IFNA(VLOOKUP($A8,PredictionTable,MATCH(J$1,Analysts,0),FALSE),60)</f>
        <v>60</v>
      </c>
      <c r="K8">
        <f>_xlfn.IFNA(VLOOKUP($A8,PredictionTable,MATCH(K$1,Analysts,0),FALSE),60)</f>
        <v>60</v>
      </c>
      <c r="L8">
        <f>_xlfn.IFNA(VLOOKUP($A8,PredictionTable,MATCH(L$1,Analysts,0),FALSE),60)</f>
        <v>60</v>
      </c>
      <c r="M8">
        <f>_xlfn.IFNA(VLOOKUP($A8,PredictionTable,MATCH(M$1,Analysts,0),FALSE),60)</f>
        <v>60</v>
      </c>
      <c r="N8">
        <f>_xlfn.IFNA(VLOOKUP($A8,PredictionTable,MATCH(N$1,Analysts,0),FALSE),60)</f>
        <v>60</v>
      </c>
      <c r="O8">
        <f>_xlfn.IFNA(VLOOKUP($A8,PredictionTable,MATCH(O$1,Analysts,0),FALSE),60)</f>
        <v>60</v>
      </c>
      <c r="P8">
        <f>_xlfn.IFNA(VLOOKUP($A8,PredictionTable,MATCH(P$1,Analysts,0),FALSE),60)</f>
        <v>60</v>
      </c>
      <c r="V8" s="7" t="s">
        <v>589</v>
      </c>
    </row>
    <row r="9" spans="1:22" x14ac:dyDescent="0.45">
      <c r="A9" s="1" t="s">
        <v>12</v>
      </c>
      <c r="B9" s="1" t="s">
        <v>5</v>
      </c>
      <c r="C9" s="1">
        <f>INDEX(T_Performances,MATCH($A9,T_Names,0))</f>
        <v>10</v>
      </c>
      <c r="D9">
        <v>316.7</v>
      </c>
      <c r="E9" s="1">
        <f>INDEX(T_Avg_PPG,MATCH($A9,T_Names,0))</f>
        <v>18.629411764705882</v>
      </c>
      <c r="F9">
        <f>1+COUNTIFS(T_Total,"&gt;"&amp;D9,T_Pos,$B9)</f>
        <v>7</v>
      </c>
      <c r="G9">
        <f>1+COUNTIFS(T_Avg_PPG,"&gt;"&amp;E9,T_Pos,$B9)</f>
        <v>12</v>
      </c>
      <c r="H9">
        <f>_xlfn.IFNA(VLOOKUP($A9,PredictionTable,MATCH(H$1,Analysts,0),FALSE),60)</f>
        <v>60</v>
      </c>
      <c r="I9">
        <f>_xlfn.IFNA(VLOOKUP($A9,PredictionTable,MATCH(I$1,Analysts,0),FALSE),60)</f>
        <v>60</v>
      </c>
      <c r="J9">
        <f>_xlfn.IFNA(VLOOKUP($A9,PredictionTable,MATCH(J$1,Analysts,0),FALSE),60)</f>
        <v>60</v>
      </c>
      <c r="K9">
        <f>_xlfn.IFNA(VLOOKUP($A9,PredictionTable,MATCH(K$1,Analysts,0),FALSE),60)</f>
        <v>60</v>
      </c>
      <c r="L9">
        <f>_xlfn.IFNA(VLOOKUP($A9,PredictionTable,MATCH(L$1,Analysts,0),FALSE),60)</f>
        <v>60</v>
      </c>
      <c r="M9">
        <f>_xlfn.IFNA(VLOOKUP($A9,PredictionTable,MATCH(M$1,Analysts,0),FALSE),60)</f>
        <v>60</v>
      </c>
      <c r="N9">
        <f>_xlfn.IFNA(VLOOKUP($A9,PredictionTable,MATCH(N$1,Analysts,0),FALSE),60)</f>
        <v>60</v>
      </c>
      <c r="O9">
        <f>_xlfn.IFNA(VLOOKUP($A9,PredictionTable,MATCH(O$1,Analysts,0),FALSE),60)</f>
        <v>60</v>
      </c>
      <c r="P9">
        <f>_xlfn.IFNA(VLOOKUP($A9,PredictionTable,MATCH(P$1,Analysts,0),FALSE),60)</f>
        <v>60</v>
      </c>
      <c r="V9" s="7" t="s">
        <v>589</v>
      </c>
    </row>
    <row r="10" spans="1:22" x14ac:dyDescent="0.45">
      <c r="A10" s="1" t="s">
        <v>13</v>
      </c>
      <c r="B10" s="1" t="s">
        <v>5</v>
      </c>
      <c r="C10" s="1">
        <f>INDEX(T_Performances,MATCH($A10,T_Names,0))</f>
        <v>8</v>
      </c>
      <c r="D10">
        <v>323.95999999999998</v>
      </c>
      <c r="E10" s="1">
        <f>INDEX(T_Avg_PPG,MATCH($A10,T_Names,0))</f>
        <v>19.056470588235292</v>
      </c>
      <c r="F10">
        <f>1+COUNTIFS(T_Total,"&gt;"&amp;D10,T_Pos,$B10)</f>
        <v>6</v>
      </c>
      <c r="G10">
        <f>1+COUNTIFS(T_Avg_PPG,"&gt;"&amp;E10,T_Pos,$B10)</f>
        <v>10</v>
      </c>
      <c r="H10">
        <f>_xlfn.IFNA(VLOOKUP($A10,PredictionTable,MATCH(H$1,Analysts,0),FALSE),60)</f>
        <v>21</v>
      </c>
      <c r="I10">
        <f>_xlfn.IFNA(VLOOKUP($A10,PredictionTable,MATCH(I$1,Analysts,0),FALSE),60)</f>
        <v>20</v>
      </c>
      <c r="J10">
        <f>_xlfn.IFNA(VLOOKUP($A10,PredictionTable,MATCH(J$1,Analysts,0),FALSE),60)</f>
        <v>20</v>
      </c>
      <c r="K10">
        <f>_xlfn.IFNA(VLOOKUP($A10,PredictionTable,MATCH(K$1,Analysts,0),FALSE),60)</f>
        <v>18</v>
      </c>
      <c r="L10">
        <f>_xlfn.IFNA(VLOOKUP($A10,PredictionTable,MATCH(L$1,Analysts,0),FALSE),60)</f>
        <v>18</v>
      </c>
      <c r="M10">
        <f>_xlfn.IFNA(VLOOKUP($A10,PredictionTable,MATCH(M$1,Analysts,0),FALSE),60)</f>
        <v>20</v>
      </c>
      <c r="N10">
        <f>_xlfn.IFNA(VLOOKUP($A10,PredictionTable,MATCH(N$1,Analysts,0),FALSE),60)</f>
        <v>15</v>
      </c>
      <c r="O10">
        <f>_xlfn.IFNA(VLOOKUP($A10,PredictionTable,MATCH(O$1,Analysts,0),FALSE),60)</f>
        <v>20</v>
      </c>
      <c r="P10">
        <f>_xlfn.IFNA(VLOOKUP($A10,PredictionTable,MATCH(P$1,Analysts,0),FALSE),60)</f>
        <v>19</v>
      </c>
      <c r="V10" s="7" t="s">
        <v>589</v>
      </c>
    </row>
    <row r="11" spans="1:22" x14ac:dyDescent="0.45">
      <c r="A11" s="1" t="s">
        <v>14</v>
      </c>
      <c r="B11" s="1" t="s">
        <v>5</v>
      </c>
      <c r="C11" s="1">
        <f>INDEX(T_Performances,MATCH($A11,T_Names,0))</f>
        <v>8</v>
      </c>
      <c r="D11">
        <v>297.24</v>
      </c>
      <c r="E11" s="1">
        <f>INDEX(T_Avg_PPG,MATCH($A11,T_Names,0))</f>
        <v>17.484705882352941</v>
      </c>
      <c r="F11">
        <f>1+COUNTIFS(T_Total,"&gt;"&amp;D11,T_Pos,$B11)</f>
        <v>10</v>
      </c>
      <c r="G11">
        <f>1+COUNTIFS(T_Avg_PPG,"&gt;"&amp;E11,T_Pos,$B11)</f>
        <v>16</v>
      </c>
      <c r="H11">
        <f>_xlfn.IFNA(VLOOKUP($A11,PredictionTable,MATCH(H$1,Analysts,0),FALSE),60)</f>
        <v>9</v>
      </c>
      <c r="I11">
        <f>_xlfn.IFNA(VLOOKUP($A11,PredictionTable,MATCH(I$1,Analysts,0),FALSE),60)</f>
        <v>9</v>
      </c>
      <c r="J11">
        <f>_xlfn.IFNA(VLOOKUP($A11,PredictionTable,MATCH(J$1,Analysts,0),FALSE),60)</f>
        <v>10</v>
      </c>
      <c r="K11">
        <f>_xlfn.IFNA(VLOOKUP($A11,PredictionTable,MATCH(K$1,Analysts,0),FALSE),60)</f>
        <v>8</v>
      </c>
      <c r="L11">
        <f>_xlfn.IFNA(VLOOKUP($A11,PredictionTable,MATCH(L$1,Analysts,0),FALSE),60)</f>
        <v>10</v>
      </c>
      <c r="M11">
        <f>_xlfn.IFNA(VLOOKUP($A11,PredictionTable,MATCH(M$1,Analysts,0),FALSE),60)</f>
        <v>9</v>
      </c>
      <c r="N11">
        <f>_xlfn.IFNA(VLOOKUP($A11,PredictionTable,MATCH(N$1,Analysts,0),FALSE),60)</f>
        <v>7</v>
      </c>
      <c r="O11">
        <f>_xlfn.IFNA(VLOOKUP($A11,PredictionTable,MATCH(O$1,Analysts,0),FALSE),60)</f>
        <v>11</v>
      </c>
      <c r="P11">
        <f>_xlfn.IFNA(VLOOKUP($A11,PredictionTable,MATCH(P$1,Analysts,0),FALSE),60)</f>
        <v>9.1</v>
      </c>
      <c r="V11" s="7" t="s">
        <v>589</v>
      </c>
    </row>
    <row r="12" spans="1:22" x14ac:dyDescent="0.45">
      <c r="A12" s="1" t="s">
        <v>15</v>
      </c>
      <c r="B12" s="1" t="s">
        <v>5</v>
      </c>
      <c r="C12" s="1">
        <f>INDEX(T_Performances,MATCH($A12,T_Names,0))</f>
        <v>5</v>
      </c>
      <c r="D12">
        <v>282.52</v>
      </c>
      <c r="E12" s="1">
        <f>INDEX(T_Avg_PPG,MATCH($A12,T_Names,0))</f>
        <v>17.657499999999999</v>
      </c>
      <c r="F12">
        <f>1+COUNTIFS(T_Total,"&gt;"&amp;D12,T_Pos,$B12)</f>
        <v>12</v>
      </c>
      <c r="G12">
        <f>1+COUNTIFS(T_Avg_PPG,"&gt;"&amp;E12,T_Pos,$B12)</f>
        <v>15</v>
      </c>
      <c r="H12">
        <f>_xlfn.IFNA(VLOOKUP($A12,PredictionTable,MATCH(H$1,Analysts,0),FALSE),60)</f>
        <v>4</v>
      </c>
      <c r="I12">
        <f>_xlfn.IFNA(VLOOKUP($A12,PredictionTable,MATCH(I$1,Analysts,0),FALSE),60)</f>
        <v>4</v>
      </c>
      <c r="J12">
        <f>_xlfn.IFNA(VLOOKUP($A12,PredictionTable,MATCH(J$1,Analysts,0),FALSE),60)</f>
        <v>3</v>
      </c>
      <c r="K12">
        <f>_xlfn.IFNA(VLOOKUP($A12,PredictionTable,MATCH(K$1,Analysts,0),FALSE),60)</f>
        <v>2</v>
      </c>
      <c r="L12">
        <f>_xlfn.IFNA(VLOOKUP($A12,PredictionTable,MATCH(L$1,Analysts,0),FALSE),60)</f>
        <v>3</v>
      </c>
      <c r="M12">
        <f>_xlfn.IFNA(VLOOKUP($A12,PredictionTable,MATCH(M$1,Analysts,0),FALSE),60)</f>
        <v>5</v>
      </c>
      <c r="N12">
        <f>_xlfn.IFNA(VLOOKUP($A12,PredictionTable,MATCH(N$1,Analysts,0),FALSE),60)</f>
        <v>5</v>
      </c>
      <c r="O12">
        <f>_xlfn.IFNA(VLOOKUP($A12,PredictionTable,MATCH(O$1,Analysts,0),FALSE),60)</f>
        <v>4</v>
      </c>
      <c r="P12">
        <f>_xlfn.IFNA(VLOOKUP($A12,PredictionTable,MATCH(P$1,Analysts,0),FALSE),60)</f>
        <v>3.8</v>
      </c>
      <c r="V12" s="7" t="s">
        <v>589</v>
      </c>
    </row>
    <row r="13" spans="1:22" x14ac:dyDescent="0.45">
      <c r="A13" s="1" t="s">
        <v>16</v>
      </c>
      <c r="B13" s="1" t="s">
        <v>5</v>
      </c>
      <c r="C13" s="1">
        <f>INDEX(T_Performances,MATCH($A13,T_Names,0))</f>
        <v>9</v>
      </c>
      <c r="D13">
        <v>266.86</v>
      </c>
      <c r="E13" s="1">
        <f>INDEX(T_Avg_PPG,MATCH($A13,T_Names,0))</f>
        <v>17.790666666666667</v>
      </c>
      <c r="F13">
        <f>1+COUNTIFS(T_Total,"&gt;"&amp;D13,T_Pos,$B13)</f>
        <v>13</v>
      </c>
      <c r="G13">
        <f>1+COUNTIFS(T_Avg_PPG,"&gt;"&amp;E13,T_Pos,$B13)</f>
        <v>14</v>
      </c>
      <c r="H13">
        <f>_xlfn.IFNA(VLOOKUP($A13,PredictionTable,MATCH(H$1,Analysts,0),FALSE),60)</f>
        <v>11</v>
      </c>
      <c r="I13">
        <f>_xlfn.IFNA(VLOOKUP($A13,PredictionTable,MATCH(I$1,Analysts,0),FALSE),60)</f>
        <v>11</v>
      </c>
      <c r="J13">
        <f>_xlfn.IFNA(VLOOKUP($A13,PredictionTable,MATCH(J$1,Analysts,0),FALSE),60)</f>
        <v>11</v>
      </c>
      <c r="K13">
        <f>_xlfn.IFNA(VLOOKUP($A13,PredictionTable,MATCH(K$1,Analysts,0),FALSE),60)</f>
        <v>11</v>
      </c>
      <c r="L13">
        <f>_xlfn.IFNA(VLOOKUP($A13,PredictionTable,MATCH(L$1,Analysts,0),FALSE),60)</f>
        <v>11</v>
      </c>
      <c r="M13">
        <f>_xlfn.IFNA(VLOOKUP($A13,PredictionTable,MATCH(M$1,Analysts,0),FALSE),60)</f>
        <v>11</v>
      </c>
      <c r="N13">
        <f>_xlfn.IFNA(VLOOKUP($A13,PredictionTable,MATCH(N$1,Analysts,0),FALSE),60)</f>
        <v>10</v>
      </c>
      <c r="O13">
        <f>_xlfn.IFNA(VLOOKUP($A13,PredictionTable,MATCH(O$1,Analysts,0),FALSE),60)</f>
        <v>10</v>
      </c>
      <c r="P13">
        <f>_xlfn.IFNA(VLOOKUP($A13,PredictionTable,MATCH(P$1,Analysts,0),FALSE),60)</f>
        <v>10.8</v>
      </c>
      <c r="V13" s="7" t="s">
        <v>589</v>
      </c>
    </row>
    <row r="14" spans="1:22" x14ac:dyDescent="0.45">
      <c r="A14" s="1" t="s">
        <v>17</v>
      </c>
      <c r="B14" s="1" t="s">
        <v>5</v>
      </c>
      <c r="C14" s="1">
        <f>INDEX(T_Performances,MATCH($A14,T_Names,0))</f>
        <v>8</v>
      </c>
      <c r="D14">
        <v>266</v>
      </c>
      <c r="E14" s="1">
        <f>INDEX(T_Avg_PPG,MATCH($A14,T_Names,0))</f>
        <v>15.647058823529411</v>
      </c>
      <c r="F14">
        <f>1+COUNTIFS(T_Total,"&gt;"&amp;D14,T_Pos,$B14)</f>
        <v>14</v>
      </c>
      <c r="G14">
        <f>1+COUNTIFS(T_Avg_PPG,"&gt;"&amp;E14,T_Pos,$B14)</f>
        <v>22</v>
      </c>
      <c r="H14">
        <f>_xlfn.IFNA(VLOOKUP($A14,PredictionTable,MATCH(H$1,Analysts,0),FALSE),60)</f>
        <v>23</v>
      </c>
      <c r="I14">
        <f>_xlfn.IFNA(VLOOKUP($A14,PredictionTable,MATCH(I$1,Analysts,0),FALSE),60)</f>
        <v>25</v>
      </c>
      <c r="J14">
        <f>_xlfn.IFNA(VLOOKUP($A14,PredictionTable,MATCH(J$1,Analysts,0),FALSE),60)</f>
        <v>23</v>
      </c>
      <c r="K14">
        <f>_xlfn.IFNA(VLOOKUP($A14,PredictionTable,MATCH(K$1,Analysts,0),FALSE),60)</f>
        <v>22</v>
      </c>
      <c r="L14">
        <f>_xlfn.IFNA(VLOOKUP($A14,PredictionTable,MATCH(L$1,Analysts,0),FALSE),60)</f>
        <v>23</v>
      </c>
      <c r="M14">
        <f>_xlfn.IFNA(VLOOKUP($A14,PredictionTable,MATCH(M$1,Analysts,0),FALSE),60)</f>
        <v>22</v>
      </c>
      <c r="N14">
        <f>_xlfn.IFNA(VLOOKUP($A14,PredictionTable,MATCH(N$1,Analysts,0),FALSE),60)</f>
        <v>22</v>
      </c>
      <c r="O14">
        <f>_xlfn.IFNA(VLOOKUP($A14,PredictionTable,MATCH(O$1,Analysts,0),FALSE),60)</f>
        <v>21</v>
      </c>
      <c r="P14">
        <f>_xlfn.IFNA(VLOOKUP($A14,PredictionTable,MATCH(P$1,Analysts,0),FALSE),60)</f>
        <v>22.6</v>
      </c>
      <c r="V14" s="7" t="s">
        <v>589</v>
      </c>
    </row>
    <row r="15" spans="1:22" x14ac:dyDescent="0.45">
      <c r="A15" s="1" t="s">
        <v>18</v>
      </c>
      <c r="B15" s="1" t="s">
        <v>5</v>
      </c>
      <c r="C15" s="1">
        <f>INDEX(T_Performances,MATCH($A15,T_Names,0))</f>
        <v>7</v>
      </c>
      <c r="D15">
        <v>256.58</v>
      </c>
      <c r="E15" s="1">
        <f>INDEX(T_Avg_PPG,MATCH($A15,T_Names,0))</f>
        <v>16.036249999999999</v>
      </c>
      <c r="F15">
        <f>1+COUNTIFS(T_Total,"&gt;"&amp;D15,T_Pos,$B15)</f>
        <v>15</v>
      </c>
      <c r="G15">
        <f>1+COUNTIFS(T_Avg_PPG,"&gt;"&amp;E15,T_Pos,$B15)</f>
        <v>20</v>
      </c>
      <c r="H15">
        <f>_xlfn.IFNA(VLOOKUP($A15,PredictionTable,MATCH(H$1,Analysts,0),FALSE),60)</f>
        <v>15</v>
      </c>
      <c r="I15">
        <f>_xlfn.IFNA(VLOOKUP($A15,PredictionTable,MATCH(I$1,Analysts,0),FALSE),60)</f>
        <v>13</v>
      </c>
      <c r="J15">
        <f>_xlfn.IFNA(VLOOKUP($A15,PredictionTable,MATCH(J$1,Analysts,0),FALSE),60)</f>
        <v>15</v>
      </c>
      <c r="K15">
        <f>_xlfn.IFNA(VLOOKUP($A15,PredictionTable,MATCH(K$1,Analysts,0),FALSE),60)</f>
        <v>13</v>
      </c>
      <c r="L15">
        <f>_xlfn.IFNA(VLOOKUP($A15,PredictionTable,MATCH(L$1,Analysts,0),FALSE),60)</f>
        <v>15</v>
      </c>
      <c r="M15">
        <f>_xlfn.IFNA(VLOOKUP($A15,PredictionTable,MATCH(M$1,Analysts,0),FALSE),60)</f>
        <v>13</v>
      </c>
      <c r="N15">
        <f>_xlfn.IFNA(VLOOKUP($A15,PredictionTable,MATCH(N$1,Analysts,0),FALSE),60)</f>
        <v>21</v>
      </c>
      <c r="O15">
        <f>_xlfn.IFNA(VLOOKUP($A15,PredictionTable,MATCH(O$1,Analysts,0),FALSE),60)</f>
        <v>14</v>
      </c>
      <c r="P15">
        <f>_xlfn.IFNA(VLOOKUP($A15,PredictionTable,MATCH(P$1,Analysts,0),FALSE),60)</f>
        <v>14.9</v>
      </c>
      <c r="V15" s="7" t="s">
        <v>589</v>
      </c>
    </row>
    <row r="16" spans="1:22" x14ac:dyDescent="0.45">
      <c r="A16" s="1" t="s">
        <v>19</v>
      </c>
      <c r="B16" s="1" t="s">
        <v>5</v>
      </c>
      <c r="C16" s="1">
        <f>INDEX(T_Performances,MATCH($A16,T_Names,0))</f>
        <v>8</v>
      </c>
      <c r="D16">
        <v>285.39999999999998</v>
      </c>
      <c r="E16" s="1">
        <f>INDEX(T_Avg_PPG,MATCH($A16,T_Names,0))</f>
        <v>16.788235294117644</v>
      </c>
      <c r="F16">
        <f>1+COUNTIFS(T_Total,"&gt;"&amp;D16,T_Pos,$B16)</f>
        <v>11</v>
      </c>
      <c r="G16">
        <f>1+COUNTIFS(T_Avg_PPG,"&gt;"&amp;E16,T_Pos,$B16)</f>
        <v>17</v>
      </c>
      <c r="H16">
        <f>_xlfn.IFNA(VLOOKUP($A16,PredictionTable,MATCH(H$1,Analysts,0),FALSE),60)</f>
        <v>14</v>
      </c>
      <c r="I16">
        <f>_xlfn.IFNA(VLOOKUP($A16,PredictionTable,MATCH(I$1,Analysts,0),FALSE),60)</f>
        <v>14</v>
      </c>
      <c r="J16">
        <f>_xlfn.IFNA(VLOOKUP($A16,PredictionTable,MATCH(J$1,Analysts,0),FALSE),60)</f>
        <v>12</v>
      </c>
      <c r="K16">
        <f>_xlfn.IFNA(VLOOKUP($A16,PredictionTable,MATCH(K$1,Analysts,0),FALSE),60)</f>
        <v>14</v>
      </c>
      <c r="L16">
        <f>_xlfn.IFNA(VLOOKUP($A16,PredictionTable,MATCH(L$1,Analysts,0),FALSE),60)</f>
        <v>20</v>
      </c>
      <c r="M16">
        <f>_xlfn.IFNA(VLOOKUP($A16,PredictionTable,MATCH(M$1,Analysts,0),FALSE),60)</f>
        <v>17</v>
      </c>
      <c r="N16">
        <f>_xlfn.IFNA(VLOOKUP($A16,PredictionTable,MATCH(N$1,Analysts,0),FALSE),60)</f>
        <v>17</v>
      </c>
      <c r="O16">
        <f>_xlfn.IFNA(VLOOKUP($A16,PredictionTable,MATCH(O$1,Analysts,0),FALSE),60)</f>
        <v>17</v>
      </c>
      <c r="P16">
        <f>_xlfn.IFNA(VLOOKUP($A16,PredictionTable,MATCH(P$1,Analysts,0),FALSE),60)</f>
        <v>15.6</v>
      </c>
      <c r="V16" s="7" t="s">
        <v>589</v>
      </c>
    </row>
    <row r="17" spans="1:22" x14ac:dyDescent="0.45">
      <c r="A17" s="1" t="s">
        <v>20</v>
      </c>
      <c r="B17" s="1" t="s">
        <v>5</v>
      </c>
      <c r="C17" s="1">
        <f>INDEX(T_Performances,MATCH($A17,T_Names,0))</f>
        <v>5</v>
      </c>
      <c r="D17">
        <v>233.86</v>
      </c>
      <c r="E17" s="1">
        <f>INDEX(T_Avg_PPG,MATCH($A17,T_Names,0))</f>
        <v>15.590666666666667</v>
      </c>
      <c r="F17">
        <f>1+COUNTIFS(T_Total,"&gt;"&amp;D17,T_Pos,$B17)</f>
        <v>17</v>
      </c>
      <c r="G17">
        <f>1+COUNTIFS(T_Avg_PPG,"&gt;"&amp;E17,T_Pos,$B17)</f>
        <v>23</v>
      </c>
      <c r="H17">
        <f>_xlfn.IFNA(VLOOKUP($A17,PredictionTable,MATCH(H$1,Analysts,0),FALSE),60)</f>
        <v>10</v>
      </c>
      <c r="I17">
        <f>_xlfn.IFNA(VLOOKUP($A17,PredictionTable,MATCH(I$1,Analysts,0),FALSE),60)</f>
        <v>10</v>
      </c>
      <c r="J17">
        <f>_xlfn.IFNA(VLOOKUP($A17,PredictionTable,MATCH(J$1,Analysts,0),FALSE),60)</f>
        <v>9</v>
      </c>
      <c r="K17">
        <f>_xlfn.IFNA(VLOOKUP($A17,PredictionTable,MATCH(K$1,Analysts,0),FALSE),60)</f>
        <v>10</v>
      </c>
      <c r="L17">
        <f>_xlfn.IFNA(VLOOKUP($A17,PredictionTable,MATCH(L$1,Analysts,0),FALSE),60)</f>
        <v>8</v>
      </c>
      <c r="M17">
        <f>_xlfn.IFNA(VLOOKUP($A17,PredictionTable,MATCH(M$1,Analysts,0),FALSE),60)</f>
        <v>10</v>
      </c>
      <c r="N17">
        <f>_xlfn.IFNA(VLOOKUP($A17,PredictionTable,MATCH(N$1,Analysts,0),FALSE),60)</f>
        <v>11</v>
      </c>
      <c r="O17">
        <f>_xlfn.IFNA(VLOOKUP($A17,PredictionTable,MATCH(O$1,Analysts,0),FALSE),60)</f>
        <v>9</v>
      </c>
      <c r="P17">
        <f>_xlfn.IFNA(VLOOKUP($A17,PredictionTable,MATCH(P$1,Analysts,0),FALSE),60)</f>
        <v>9.6</v>
      </c>
      <c r="V17" s="7" t="s">
        <v>589</v>
      </c>
    </row>
    <row r="18" spans="1:22" x14ac:dyDescent="0.45">
      <c r="A18" s="1" t="s">
        <v>21</v>
      </c>
      <c r="B18" s="1" t="s">
        <v>5</v>
      </c>
      <c r="C18" s="1">
        <f>INDEX(T_Performances,MATCH($A18,T_Names,0))</f>
        <v>6</v>
      </c>
      <c r="D18">
        <v>254.54</v>
      </c>
      <c r="E18" s="1">
        <f>INDEX(T_Avg_PPG,MATCH($A18,T_Names,0))</f>
        <v>14.972941176470588</v>
      </c>
      <c r="F18">
        <f>1+COUNTIFS(T_Total,"&gt;"&amp;D18,T_Pos,$B18)</f>
        <v>16</v>
      </c>
      <c r="G18">
        <f>1+COUNTIFS(T_Avg_PPG,"&gt;"&amp;E18,T_Pos,$B18)</f>
        <v>27</v>
      </c>
      <c r="H18">
        <f>_xlfn.IFNA(VLOOKUP($A18,PredictionTable,MATCH(H$1,Analysts,0),FALSE),60)</f>
        <v>12</v>
      </c>
      <c r="I18">
        <f>_xlfn.IFNA(VLOOKUP($A18,PredictionTable,MATCH(I$1,Analysts,0),FALSE),60)</f>
        <v>16</v>
      </c>
      <c r="J18">
        <f>_xlfn.IFNA(VLOOKUP($A18,PredictionTable,MATCH(J$1,Analysts,0),FALSE),60)</f>
        <v>18</v>
      </c>
      <c r="K18">
        <f>_xlfn.IFNA(VLOOKUP($A18,PredictionTable,MATCH(K$1,Analysts,0),FALSE),60)</f>
        <v>15</v>
      </c>
      <c r="L18">
        <f>_xlfn.IFNA(VLOOKUP($A18,PredictionTable,MATCH(L$1,Analysts,0),FALSE),60)</f>
        <v>13</v>
      </c>
      <c r="M18">
        <f>_xlfn.IFNA(VLOOKUP($A18,PredictionTable,MATCH(M$1,Analysts,0),FALSE),60)</f>
        <v>14</v>
      </c>
      <c r="N18">
        <f>_xlfn.IFNA(VLOOKUP($A18,PredictionTable,MATCH(N$1,Analysts,0),FALSE),60)</f>
        <v>13</v>
      </c>
      <c r="O18">
        <f>_xlfn.IFNA(VLOOKUP($A18,PredictionTable,MATCH(O$1,Analysts,0),FALSE),60)</f>
        <v>13</v>
      </c>
      <c r="P18">
        <f>_xlfn.IFNA(VLOOKUP($A18,PredictionTable,MATCH(P$1,Analysts,0),FALSE),60)</f>
        <v>14.3</v>
      </c>
      <c r="V18" s="7" t="s">
        <v>589</v>
      </c>
    </row>
    <row r="19" spans="1:22" x14ac:dyDescent="0.45">
      <c r="A19" s="1" t="s">
        <v>22</v>
      </c>
      <c r="B19" s="1" t="s">
        <v>5</v>
      </c>
      <c r="C19" s="1">
        <f>INDEX(T_Performances,MATCH($A19,T_Names,0))</f>
        <v>6</v>
      </c>
      <c r="D19">
        <v>177.14</v>
      </c>
      <c r="E19" s="1">
        <f>INDEX(T_Avg_PPG,MATCH($A19,T_Names,0))</f>
        <v>14.761666666666665</v>
      </c>
      <c r="F19">
        <f>1+COUNTIFS(T_Total,"&gt;"&amp;D19,T_Pos,$B19)</f>
        <v>22</v>
      </c>
      <c r="G19">
        <f>1+COUNTIFS(T_Avg_PPG,"&gt;"&amp;E19,T_Pos,$B19)</f>
        <v>30</v>
      </c>
      <c r="H19">
        <f>_xlfn.IFNA(VLOOKUP($A19,PredictionTable,MATCH(H$1,Analysts,0),FALSE),60)</f>
        <v>60</v>
      </c>
      <c r="I19">
        <f>_xlfn.IFNA(VLOOKUP($A19,PredictionTable,MATCH(I$1,Analysts,0),FALSE),60)</f>
        <v>60</v>
      </c>
      <c r="J19">
        <f>_xlfn.IFNA(VLOOKUP($A19,PredictionTable,MATCH(J$1,Analysts,0),FALSE),60)</f>
        <v>60</v>
      </c>
      <c r="K19">
        <f>_xlfn.IFNA(VLOOKUP($A19,PredictionTable,MATCH(K$1,Analysts,0),FALSE),60)</f>
        <v>60</v>
      </c>
      <c r="L19">
        <f>_xlfn.IFNA(VLOOKUP($A19,PredictionTable,MATCH(L$1,Analysts,0),FALSE),60)</f>
        <v>60</v>
      </c>
      <c r="M19">
        <f>_xlfn.IFNA(VLOOKUP($A19,PredictionTable,MATCH(M$1,Analysts,0),FALSE),60)</f>
        <v>60</v>
      </c>
      <c r="N19">
        <f>_xlfn.IFNA(VLOOKUP($A19,PredictionTable,MATCH(N$1,Analysts,0),FALSE),60)</f>
        <v>60</v>
      </c>
      <c r="O19">
        <f>_xlfn.IFNA(VLOOKUP($A19,PredictionTable,MATCH(O$1,Analysts,0),FALSE),60)</f>
        <v>60</v>
      </c>
      <c r="P19">
        <f>_xlfn.IFNA(VLOOKUP($A19,PredictionTable,MATCH(P$1,Analysts,0),FALSE),60)</f>
        <v>60</v>
      </c>
      <c r="V19" s="7" t="s">
        <v>589</v>
      </c>
    </row>
    <row r="20" spans="1:22" x14ac:dyDescent="0.45">
      <c r="A20" s="1" t="s">
        <v>23</v>
      </c>
      <c r="B20" s="1" t="s">
        <v>5</v>
      </c>
      <c r="C20" s="1">
        <f>INDEX(T_Performances,MATCH($A20,T_Names,0))</f>
        <v>3</v>
      </c>
      <c r="D20">
        <v>220.38</v>
      </c>
      <c r="E20" s="1">
        <f>INDEX(T_Avg_PPG,MATCH($A20,T_Names,0))</f>
        <v>12.963529411764705</v>
      </c>
      <c r="F20">
        <f>1+COUNTIFS(T_Total,"&gt;"&amp;D20,T_Pos,$B20)</f>
        <v>18</v>
      </c>
      <c r="G20">
        <f>1+COUNTIFS(T_Avg_PPG,"&gt;"&amp;E20,T_Pos,$B20)</f>
        <v>40</v>
      </c>
      <c r="H20">
        <f>_xlfn.IFNA(VLOOKUP($A20,PredictionTable,MATCH(H$1,Analysts,0),FALSE),60)</f>
        <v>7</v>
      </c>
      <c r="I20">
        <f>_xlfn.IFNA(VLOOKUP($A20,PredictionTable,MATCH(I$1,Analysts,0),FALSE),60)</f>
        <v>6</v>
      </c>
      <c r="J20">
        <f>_xlfn.IFNA(VLOOKUP($A20,PredictionTable,MATCH(J$1,Analysts,0),FALSE),60)</f>
        <v>5</v>
      </c>
      <c r="K20">
        <f>_xlfn.IFNA(VLOOKUP($A20,PredictionTable,MATCH(K$1,Analysts,0),FALSE),60)</f>
        <v>6</v>
      </c>
      <c r="L20">
        <f>_xlfn.IFNA(VLOOKUP($A20,PredictionTable,MATCH(L$1,Analysts,0),FALSE),60)</f>
        <v>5</v>
      </c>
      <c r="M20">
        <f>_xlfn.IFNA(VLOOKUP($A20,PredictionTable,MATCH(M$1,Analysts,0),FALSE),60)</f>
        <v>6</v>
      </c>
      <c r="N20">
        <f>_xlfn.IFNA(VLOOKUP($A20,PredictionTable,MATCH(N$1,Analysts,0),FALSE),60)</f>
        <v>6</v>
      </c>
      <c r="O20">
        <f>_xlfn.IFNA(VLOOKUP($A20,PredictionTable,MATCH(O$1,Analysts,0),FALSE),60)</f>
        <v>7</v>
      </c>
      <c r="P20">
        <f>_xlfn.IFNA(VLOOKUP($A20,PredictionTable,MATCH(P$1,Analysts,0),FALSE),60)</f>
        <v>6</v>
      </c>
      <c r="V20" s="7" t="s">
        <v>589</v>
      </c>
    </row>
    <row r="21" spans="1:22" x14ac:dyDescent="0.45">
      <c r="A21" s="1" t="s">
        <v>24</v>
      </c>
      <c r="B21" s="1" t="s">
        <v>5</v>
      </c>
      <c r="C21" s="1">
        <f>INDEX(T_Performances,MATCH($A21,T_Names,0))</f>
        <v>5</v>
      </c>
      <c r="D21">
        <v>214.58</v>
      </c>
      <c r="E21" s="1">
        <f>INDEX(T_Avg_PPG,MATCH($A21,T_Names,0))</f>
        <v>13.411250000000001</v>
      </c>
      <c r="F21">
        <f>1+COUNTIFS(T_Total,"&gt;"&amp;D21,T_Pos,$B21)</f>
        <v>19</v>
      </c>
      <c r="G21">
        <f>1+COUNTIFS(T_Avg_PPG,"&gt;"&amp;E21,T_Pos,$B21)</f>
        <v>38</v>
      </c>
      <c r="H21">
        <f>_xlfn.IFNA(VLOOKUP($A21,PredictionTable,MATCH(H$1,Analysts,0),FALSE),60)</f>
        <v>20</v>
      </c>
      <c r="I21">
        <f>_xlfn.IFNA(VLOOKUP($A21,PredictionTable,MATCH(I$1,Analysts,0),FALSE),60)</f>
        <v>21</v>
      </c>
      <c r="J21">
        <f>_xlfn.IFNA(VLOOKUP($A21,PredictionTable,MATCH(J$1,Analysts,0),FALSE),60)</f>
        <v>21</v>
      </c>
      <c r="K21">
        <f>_xlfn.IFNA(VLOOKUP($A21,PredictionTable,MATCH(K$1,Analysts,0),FALSE),60)</f>
        <v>21</v>
      </c>
      <c r="L21">
        <f>_xlfn.IFNA(VLOOKUP($A21,PredictionTable,MATCH(L$1,Analysts,0),FALSE),60)</f>
        <v>19</v>
      </c>
      <c r="M21">
        <f>_xlfn.IFNA(VLOOKUP($A21,PredictionTable,MATCH(M$1,Analysts,0),FALSE),60)</f>
        <v>21</v>
      </c>
      <c r="N21">
        <f>_xlfn.IFNA(VLOOKUP($A21,PredictionTable,MATCH(N$1,Analysts,0),FALSE),60)</f>
        <v>16</v>
      </c>
      <c r="O21">
        <f>_xlfn.IFNA(VLOOKUP($A21,PredictionTable,MATCH(O$1,Analysts,0),FALSE),60)</f>
        <v>24</v>
      </c>
      <c r="P21">
        <f>_xlfn.IFNA(VLOOKUP($A21,PredictionTable,MATCH(P$1,Analysts,0),FALSE),60)</f>
        <v>20.399999999999999</v>
      </c>
      <c r="V21" s="7" t="s">
        <v>589</v>
      </c>
    </row>
    <row r="22" spans="1:22" x14ac:dyDescent="0.45">
      <c r="A22" s="1" t="s">
        <v>25</v>
      </c>
      <c r="B22" s="1" t="s">
        <v>5</v>
      </c>
      <c r="C22" s="1">
        <f>INDEX(T_Performances,MATCH($A22,T_Names,0))</f>
        <v>6</v>
      </c>
      <c r="D22">
        <v>181.58</v>
      </c>
      <c r="E22" s="1">
        <f>INDEX(T_Avg_PPG,MATCH($A22,T_Names,0))</f>
        <v>16.507272727272728</v>
      </c>
      <c r="F22">
        <f>1+COUNTIFS(T_Total,"&gt;"&amp;D22,T_Pos,$B22)</f>
        <v>21</v>
      </c>
      <c r="G22">
        <f>1+COUNTIFS(T_Avg_PPG,"&gt;"&amp;E22,T_Pos,$B22)</f>
        <v>18</v>
      </c>
      <c r="H22">
        <f>_xlfn.IFNA(VLOOKUP($A22,PredictionTable,MATCH(H$1,Analysts,0),FALSE),60)</f>
        <v>18</v>
      </c>
      <c r="I22">
        <f>_xlfn.IFNA(VLOOKUP($A22,PredictionTable,MATCH(I$1,Analysts,0),FALSE),60)</f>
        <v>19</v>
      </c>
      <c r="J22">
        <f>_xlfn.IFNA(VLOOKUP($A22,PredictionTable,MATCH(J$1,Analysts,0),FALSE),60)</f>
        <v>13</v>
      </c>
      <c r="K22">
        <f>_xlfn.IFNA(VLOOKUP($A22,PredictionTable,MATCH(K$1,Analysts,0),FALSE),60)</f>
        <v>19</v>
      </c>
      <c r="L22">
        <f>_xlfn.IFNA(VLOOKUP($A22,PredictionTable,MATCH(L$1,Analysts,0),FALSE),60)</f>
        <v>17</v>
      </c>
      <c r="M22">
        <f>_xlfn.IFNA(VLOOKUP($A22,PredictionTable,MATCH(M$1,Analysts,0),FALSE),60)</f>
        <v>18</v>
      </c>
      <c r="N22">
        <f>_xlfn.IFNA(VLOOKUP($A22,PredictionTable,MATCH(N$1,Analysts,0),FALSE),60)</f>
        <v>14</v>
      </c>
      <c r="O22">
        <f>_xlfn.IFNA(VLOOKUP($A22,PredictionTable,MATCH(O$1,Analysts,0),FALSE),60)</f>
        <v>15</v>
      </c>
      <c r="P22">
        <f>_xlfn.IFNA(VLOOKUP($A22,PredictionTable,MATCH(P$1,Analysts,0),FALSE),60)</f>
        <v>16.600000000000001</v>
      </c>
      <c r="V22" s="7" t="s">
        <v>589</v>
      </c>
    </row>
    <row r="23" spans="1:22" x14ac:dyDescent="0.45">
      <c r="A23" s="1" t="s">
        <v>26</v>
      </c>
      <c r="B23" s="1" t="s">
        <v>5</v>
      </c>
      <c r="C23" s="1">
        <f>INDEX(T_Performances,MATCH($A23,T_Names,0))</f>
        <v>4</v>
      </c>
      <c r="D23">
        <v>172.78</v>
      </c>
      <c r="E23" s="1">
        <f>INDEX(T_Avg_PPG,MATCH($A23,T_Names,0))</f>
        <v>15.707272727272727</v>
      </c>
      <c r="F23">
        <f>1+COUNTIFS(T_Total,"&gt;"&amp;D23,T_Pos,$B23)</f>
        <v>24</v>
      </c>
      <c r="G23">
        <f>1+COUNTIFS(T_Avg_PPG,"&gt;"&amp;E23,T_Pos,$B23)</f>
        <v>21</v>
      </c>
      <c r="H23">
        <f>_xlfn.IFNA(VLOOKUP($A23,PredictionTable,MATCH(H$1,Analysts,0),FALSE),60)</f>
        <v>60</v>
      </c>
      <c r="I23">
        <f>_xlfn.IFNA(VLOOKUP($A23,PredictionTable,MATCH(I$1,Analysts,0),FALSE),60)</f>
        <v>60</v>
      </c>
      <c r="J23">
        <f>_xlfn.IFNA(VLOOKUP($A23,PredictionTable,MATCH(J$1,Analysts,0),FALSE),60)</f>
        <v>60</v>
      </c>
      <c r="K23">
        <f>_xlfn.IFNA(VLOOKUP($A23,PredictionTable,MATCH(K$1,Analysts,0),FALSE),60)</f>
        <v>60</v>
      </c>
      <c r="L23">
        <f>_xlfn.IFNA(VLOOKUP($A23,PredictionTable,MATCH(L$1,Analysts,0),FALSE),60)</f>
        <v>60</v>
      </c>
      <c r="M23">
        <f>_xlfn.IFNA(VLOOKUP($A23,PredictionTable,MATCH(M$1,Analysts,0),FALSE),60)</f>
        <v>60</v>
      </c>
      <c r="N23">
        <f>_xlfn.IFNA(VLOOKUP($A23,PredictionTable,MATCH(N$1,Analysts,0),FALSE),60)</f>
        <v>60</v>
      </c>
      <c r="O23">
        <f>_xlfn.IFNA(VLOOKUP($A23,PredictionTable,MATCH(O$1,Analysts,0),FALSE),60)</f>
        <v>60</v>
      </c>
      <c r="P23">
        <f>_xlfn.IFNA(VLOOKUP($A23,PredictionTable,MATCH(P$1,Analysts,0),FALSE),60)</f>
        <v>60</v>
      </c>
      <c r="V23" s="7" t="s">
        <v>589</v>
      </c>
    </row>
    <row r="24" spans="1:22" x14ac:dyDescent="0.45">
      <c r="A24" s="1" t="s">
        <v>27</v>
      </c>
      <c r="B24" s="1" t="s">
        <v>5</v>
      </c>
      <c r="C24" s="1">
        <f>INDEX(T_Performances,MATCH($A24,T_Names,0))</f>
        <v>3</v>
      </c>
      <c r="D24">
        <v>195.02</v>
      </c>
      <c r="E24" s="1">
        <f>INDEX(T_Avg_PPG,MATCH($A24,T_Names,0))</f>
        <v>15.001538461538463</v>
      </c>
      <c r="F24">
        <f>1+COUNTIFS(T_Total,"&gt;"&amp;D24,T_Pos,$B24)</f>
        <v>20</v>
      </c>
      <c r="G24">
        <f>1+COUNTIFS(T_Avg_PPG,"&gt;"&amp;E24,T_Pos,$B24)</f>
        <v>26</v>
      </c>
      <c r="H24">
        <f>_xlfn.IFNA(VLOOKUP($A24,PredictionTable,MATCH(H$1,Analysts,0),FALSE),60)</f>
        <v>60</v>
      </c>
      <c r="I24">
        <f>_xlfn.IFNA(VLOOKUP($A24,PredictionTable,MATCH(I$1,Analysts,0),FALSE),60)</f>
        <v>60</v>
      </c>
      <c r="J24">
        <f>_xlfn.IFNA(VLOOKUP($A24,PredictionTable,MATCH(J$1,Analysts,0),FALSE),60)</f>
        <v>60</v>
      </c>
      <c r="K24">
        <f>_xlfn.IFNA(VLOOKUP($A24,PredictionTable,MATCH(K$1,Analysts,0),FALSE),60)</f>
        <v>60</v>
      </c>
      <c r="L24">
        <f>_xlfn.IFNA(VLOOKUP($A24,PredictionTable,MATCH(L$1,Analysts,0),FALSE),60)</f>
        <v>60</v>
      </c>
      <c r="M24">
        <f>_xlfn.IFNA(VLOOKUP($A24,PredictionTable,MATCH(M$1,Analysts,0),FALSE),60)</f>
        <v>60</v>
      </c>
      <c r="N24">
        <f>_xlfn.IFNA(VLOOKUP($A24,PredictionTable,MATCH(N$1,Analysts,0),FALSE),60)</f>
        <v>60</v>
      </c>
      <c r="O24">
        <f>_xlfn.IFNA(VLOOKUP($A24,PredictionTable,MATCH(O$1,Analysts,0),FALSE),60)</f>
        <v>60</v>
      </c>
      <c r="P24">
        <f>_xlfn.IFNA(VLOOKUP($A24,PredictionTable,MATCH(P$1,Analysts,0),FALSE),60)</f>
        <v>60</v>
      </c>
      <c r="V24" s="7" t="s">
        <v>589</v>
      </c>
    </row>
    <row r="25" spans="1:22" x14ac:dyDescent="0.45">
      <c r="A25" s="1" t="s">
        <v>28</v>
      </c>
      <c r="B25" s="1" t="s">
        <v>5</v>
      </c>
      <c r="C25" s="1">
        <f>INDEX(T_Performances,MATCH($A25,T_Names,0))</f>
        <v>4</v>
      </c>
      <c r="D25">
        <v>145.19999999999999</v>
      </c>
      <c r="E25" s="1">
        <f>INDEX(T_Avg_PPG,MATCH($A25,T_Names,0))</f>
        <v>16.133333333333333</v>
      </c>
      <c r="F25">
        <f>1+COUNTIFS(T_Total,"&gt;"&amp;D25,T_Pos,$B25)</f>
        <v>27</v>
      </c>
      <c r="G25">
        <f>1+COUNTIFS(T_Avg_PPG,"&gt;"&amp;E25,T_Pos,$B25)</f>
        <v>19</v>
      </c>
      <c r="H25">
        <f>_xlfn.IFNA(VLOOKUP($A25,PredictionTable,MATCH(H$1,Analysts,0),FALSE),60)</f>
        <v>17</v>
      </c>
      <c r="I25">
        <f>_xlfn.IFNA(VLOOKUP($A25,PredictionTable,MATCH(I$1,Analysts,0),FALSE),60)</f>
        <v>18</v>
      </c>
      <c r="J25">
        <f>_xlfn.IFNA(VLOOKUP($A25,PredictionTable,MATCH(J$1,Analysts,0),FALSE),60)</f>
        <v>19</v>
      </c>
      <c r="K25">
        <f>_xlfn.IFNA(VLOOKUP($A25,PredictionTable,MATCH(K$1,Analysts,0),FALSE),60)</f>
        <v>17</v>
      </c>
      <c r="L25">
        <f>_xlfn.IFNA(VLOOKUP($A25,PredictionTable,MATCH(L$1,Analysts,0),FALSE),60)</f>
        <v>14</v>
      </c>
      <c r="M25">
        <f>_xlfn.IFNA(VLOOKUP($A25,PredictionTable,MATCH(M$1,Analysts,0),FALSE),60)</f>
        <v>16</v>
      </c>
      <c r="N25">
        <f>_xlfn.IFNA(VLOOKUP($A25,PredictionTable,MATCH(N$1,Analysts,0),FALSE),60)</f>
        <v>18</v>
      </c>
      <c r="O25">
        <f>_xlfn.IFNA(VLOOKUP($A25,PredictionTable,MATCH(O$1,Analysts,0),FALSE),60)</f>
        <v>18</v>
      </c>
      <c r="P25">
        <f>_xlfn.IFNA(VLOOKUP($A25,PredictionTable,MATCH(P$1,Analysts,0),FALSE),60)</f>
        <v>17.100000000000001</v>
      </c>
      <c r="V25" s="7" t="s">
        <v>589</v>
      </c>
    </row>
    <row r="26" spans="1:22" x14ac:dyDescent="0.45">
      <c r="A26" s="1" t="s">
        <v>29</v>
      </c>
      <c r="B26" s="1" t="s">
        <v>5</v>
      </c>
      <c r="C26" s="1">
        <f>INDEX(T_Performances,MATCH($A26,T_Names,0))</f>
        <v>4</v>
      </c>
      <c r="D26">
        <v>176.32</v>
      </c>
      <c r="E26" s="1">
        <f>INDEX(T_Avg_PPG,MATCH($A26,T_Names,0))</f>
        <v>12.594285714285714</v>
      </c>
      <c r="F26">
        <f>1+COUNTIFS(T_Total,"&gt;"&amp;D26,T_Pos,$B26)</f>
        <v>23</v>
      </c>
      <c r="G26">
        <f>1+COUNTIFS(T_Avg_PPG,"&gt;"&amp;E26,T_Pos,$B26)</f>
        <v>42</v>
      </c>
      <c r="H26">
        <f>_xlfn.IFNA(VLOOKUP($A26,PredictionTable,MATCH(H$1,Analysts,0),FALSE),60)</f>
        <v>16</v>
      </c>
      <c r="I26">
        <f>_xlfn.IFNA(VLOOKUP($A26,PredictionTable,MATCH(I$1,Analysts,0),FALSE),60)</f>
        <v>15</v>
      </c>
      <c r="J26">
        <f>_xlfn.IFNA(VLOOKUP($A26,PredictionTable,MATCH(J$1,Analysts,0),FALSE),60)</f>
        <v>16</v>
      </c>
      <c r="K26">
        <f>_xlfn.IFNA(VLOOKUP($A26,PredictionTable,MATCH(K$1,Analysts,0),FALSE),60)</f>
        <v>16</v>
      </c>
      <c r="L26">
        <f>_xlfn.IFNA(VLOOKUP($A26,PredictionTable,MATCH(L$1,Analysts,0),FALSE),60)</f>
        <v>16</v>
      </c>
      <c r="M26">
        <f>_xlfn.IFNA(VLOOKUP($A26,PredictionTable,MATCH(M$1,Analysts,0),FALSE),60)</f>
        <v>15</v>
      </c>
      <c r="N26">
        <f>_xlfn.IFNA(VLOOKUP($A26,PredictionTable,MATCH(N$1,Analysts,0),FALSE),60)</f>
        <v>19</v>
      </c>
      <c r="O26">
        <f>_xlfn.IFNA(VLOOKUP($A26,PredictionTable,MATCH(O$1,Analysts,0),FALSE),60)</f>
        <v>16</v>
      </c>
      <c r="P26">
        <f>_xlfn.IFNA(VLOOKUP($A26,PredictionTable,MATCH(P$1,Analysts,0),FALSE),60)</f>
        <v>16.100000000000001</v>
      </c>
      <c r="V26" s="7" t="s">
        <v>589</v>
      </c>
    </row>
    <row r="27" spans="1:22" x14ac:dyDescent="0.45">
      <c r="A27" s="1" t="s">
        <v>30</v>
      </c>
      <c r="B27" s="1" t="s">
        <v>5</v>
      </c>
      <c r="C27" s="1">
        <f>INDEX(T_Performances,MATCH($A27,T_Names,0))</f>
        <v>4</v>
      </c>
      <c r="D27">
        <v>162.86000000000001</v>
      </c>
      <c r="E27" s="1">
        <f>INDEX(T_Avg_PPG,MATCH($A27,T_Names,0))</f>
        <v>14.805454545454547</v>
      </c>
      <c r="F27">
        <f>1+COUNTIFS(T_Total,"&gt;"&amp;D27,T_Pos,$B27)</f>
        <v>25</v>
      </c>
      <c r="G27">
        <f>1+COUNTIFS(T_Avg_PPG,"&gt;"&amp;E27,T_Pos,$B27)</f>
        <v>29</v>
      </c>
      <c r="H27">
        <f>_xlfn.IFNA(VLOOKUP($A27,PredictionTable,MATCH(H$1,Analysts,0),FALSE),60)</f>
        <v>6</v>
      </c>
      <c r="I27">
        <f>_xlfn.IFNA(VLOOKUP($A27,PredictionTable,MATCH(I$1,Analysts,0),FALSE),60)</f>
        <v>5</v>
      </c>
      <c r="J27">
        <f>_xlfn.IFNA(VLOOKUP($A27,PredictionTable,MATCH(J$1,Analysts,0),FALSE),60)</f>
        <v>7</v>
      </c>
      <c r="K27">
        <f>_xlfn.IFNA(VLOOKUP($A27,PredictionTable,MATCH(K$1,Analysts,0),FALSE),60)</f>
        <v>5</v>
      </c>
      <c r="L27">
        <f>_xlfn.IFNA(VLOOKUP($A27,PredictionTable,MATCH(L$1,Analysts,0),FALSE),60)</f>
        <v>9</v>
      </c>
      <c r="M27">
        <f>_xlfn.IFNA(VLOOKUP($A27,PredictionTable,MATCH(M$1,Analysts,0),FALSE),60)</f>
        <v>4</v>
      </c>
      <c r="N27">
        <f>_xlfn.IFNA(VLOOKUP($A27,PredictionTable,MATCH(N$1,Analysts,0),FALSE),60)</f>
        <v>4</v>
      </c>
      <c r="O27">
        <f>_xlfn.IFNA(VLOOKUP($A27,PredictionTable,MATCH(O$1,Analysts,0),FALSE),60)</f>
        <v>3</v>
      </c>
      <c r="P27">
        <f>_xlfn.IFNA(VLOOKUP($A27,PredictionTable,MATCH(P$1,Analysts,0),FALSE),60)</f>
        <v>5.4</v>
      </c>
      <c r="V27" s="7" t="s">
        <v>589</v>
      </c>
    </row>
    <row r="28" spans="1:22" x14ac:dyDescent="0.45">
      <c r="A28" s="1" t="s">
        <v>31</v>
      </c>
      <c r="B28" s="1" t="s">
        <v>5</v>
      </c>
      <c r="C28" s="1">
        <f>INDEX(T_Performances,MATCH($A28,T_Names,0))</f>
        <v>4</v>
      </c>
      <c r="D28">
        <v>150.9</v>
      </c>
      <c r="E28" s="1">
        <f>INDEX(T_Avg_PPG,MATCH($A28,T_Names,0))</f>
        <v>15.09</v>
      </c>
      <c r="F28">
        <f>1+COUNTIFS(T_Total,"&gt;"&amp;D28,T_Pos,$B28)</f>
        <v>26</v>
      </c>
      <c r="G28">
        <f>1+COUNTIFS(T_Avg_PPG,"&gt;"&amp;E28,T_Pos,$B28)</f>
        <v>25</v>
      </c>
      <c r="H28">
        <f>_xlfn.IFNA(VLOOKUP($A28,PredictionTable,MATCH(H$1,Analysts,0),FALSE),60)</f>
        <v>60</v>
      </c>
      <c r="I28">
        <f>_xlfn.IFNA(VLOOKUP($A28,PredictionTable,MATCH(I$1,Analysts,0),FALSE),60)</f>
        <v>60</v>
      </c>
      <c r="J28">
        <f>_xlfn.IFNA(VLOOKUP($A28,PredictionTable,MATCH(J$1,Analysts,0),FALSE),60)</f>
        <v>60</v>
      </c>
      <c r="K28">
        <f>_xlfn.IFNA(VLOOKUP($A28,PredictionTable,MATCH(K$1,Analysts,0),FALSE),60)</f>
        <v>60</v>
      </c>
      <c r="L28">
        <f>_xlfn.IFNA(VLOOKUP($A28,PredictionTable,MATCH(L$1,Analysts,0),FALSE),60)</f>
        <v>60</v>
      </c>
      <c r="M28">
        <f>_xlfn.IFNA(VLOOKUP($A28,PredictionTable,MATCH(M$1,Analysts,0),FALSE),60)</f>
        <v>60</v>
      </c>
      <c r="N28">
        <f>_xlfn.IFNA(VLOOKUP($A28,PredictionTable,MATCH(N$1,Analysts,0),FALSE),60)</f>
        <v>60</v>
      </c>
      <c r="O28">
        <f>_xlfn.IFNA(VLOOKUP($A28,PredictionTable,MATCH(O$1,Analysts,0),FALSE),60)</f>
        <v>60</v>
      </c>
      <c r="P28">
        <f>_xlfn.IFNA(VLOOKUP($A28,PredictionTable,MATCH(P$1,Analysts,0),FALSE),60)</f>
        <v>60</v>
      </c>
      <c r="V28" s="7" t="s">
        <v>589</v>
      </c>
    </row>
    <row r="29" spans="1:22" x14ac:dyDescent="0.45">
      <c r="A29" s="1" t="s">
        <v>32</v>
      </c>
      <c r="B29" s="1" t="s">
        <v>5</v>
      </c>
      <c r="C29" s="1">
        <f>INDEX(T_Performances,MATCH($A29,T_Names,0))</f>
        <v>4</v>
      </c>
      <c r="D29">
        <v>135.30000000000001</v>
      </c>
      <c r="E29" s="1">
        <f>INDEX(T_Avg_PPG,MATCH($A29,T_Names,0))</f>
        <v>13.530000000000001</v>
      </c>
      <c r="F29">
        <f>1+COUNTIFS(T_Total,"&gt;"&amp;D29,T_Pos,$B29)</f>
        <v>28</v>
      </c>
      <c r="G29">
        <f>1+COUNTIFS(T_Avg_PPG,"&gt;"&amp;E29,T_Pos,$B29)</f>
        <v>37</v>
      </c>
      <c r="H29">
        <f>_xlfn.IFNA(VLOOKUP($A29,PredictionTable,MATCH(H$1,Analysts,0),FALSE),60)</f>
        <v>25</v>
      </c>
      <c r="I29">
        <f>_xlfn.IFNA(VLOOKUP($A29,PredictionTable,MATCH(I$1,Analysts,0),FALSE),60)</f>
        <v>23</v>
      </c>
      <c r="J29">
        <f>_xlfn.IFNA(VLOOKUP($A29,PredictionTable,MATCH(J$1,Analysts,0),FALSE),60)</f>
        <v>24</v>
      </c>
      <c r="K29">
        <f>_xlfn.IFNA(VLOOKUP($A29,PredictionTable,MATCH(K$1,Analysts,0),FALSE),60)</f>
        <v>25</v>
      </c>
      <c r="L29">
        <f>_xlfn.IFNA(VLOOKUP($A29,PredictionTable,MATCH(L$1,Analysts,0),FALSE),60)</f>
        <v>24</v>
      </c>
      <c r="M29">
        <f>_xlfn.IFNA(VLOOKUP($A29,PredictionTable,MATCH(M$1,Analysts,0),FALSE),60)</f>
        <v>25</v>
      </c>
      <c r="N29">
        <f>_xlfn.IFNA(VLOOKUP($A29,PredictionTable,MATCH(N$1,Analysts,0),FALSE),60)</f>
        <v>23</v>
      </c>
      <c r="O29">
        <f>_xlfn.IFNA(VLOOKUP($A29,PredictionTable,MATCH(O$1,Analysts,0),FALSE),60)</f>
        <v>23</v>
      </c>
      <c r="P29">
        <f>_xlfn.IFNA(VLOOKUP($A29,PredictionTable,MATCH(P$1,Analysts,0),FALSE),60)</f>
        <v>24</v>
      </c>
      <c r="V29" s="7" t="s">
        <v>589</v>
      </c>
    </row>
    <row r="30" spans="1:22" x14ac:dyDescent="0.45">
      <c r="A30" s="1" t="s">
        <v>33</v>
      </c>
      <c r="B30" s="1" t="s">
        <v>5</v>
      </c>
      <c r="C30" s="1">
        <f>INDEX(T_Performances,MATCH($A30,T_Names,0))</f>
        <v>3</v>
      </c>
      <c r="D30">
        <v>131.13999999999999</v>
      </c>
      <c r="E30" s="1">
        <f>INDEX(T_Avg_PPG,MATCH($A30,T_Names,0))</f>
        <v>18.734285714285711</v>
      </c>
      <c r="F30">
        <f>1+COUNTIFS(T_Total,"&gt;"&amp;D30,T_Pos,$B30)</f>
        <v>29</v>
      </c>
      <c r="G30">
        <f>1+COUNTIFS(T_Avg_PPG,"&gt;"&amp;E30,T_Pos,$B30)</f>
        <v>11</v>
      </c>
      <c r="H30">
        <f>_xlfn.IFNA(VLOOKUP($A30,PredictionTable,MATCH(H$1,Analysts,0),FALSE),60)</f>
        <v>60</v>
      </c>
      <c r="I30">
        <f>_xlfn.IFNA(VLOOKUP($A30,PredictionTable,MATCH(I$1,Analysts,0),FALSE),60)</f>
        <v>60</v>
      </c>
      <c r="J30">
        <f>_xlfn.IFNA(VLOOKUP($A30,PredictionTable,MATCH(J$1,Analysts,0),FALSE),60)</f>
        <v>60</v>
      </c>
      <c r="K30">
        <f>_xlfn.IFNA(VLOOKUP($A30,PredictionTable,MATCH(K$1,Analysts,0),FALSE),60)</f>
        <v>60</v>
      </c>
      <c r="L30">
        <f>_xlfn.IFNA(VLOOKUP($A30,PredictionTable,MATCH(L$1,Analysts,0),FALSE),60)</f>
        <v>60</v>
      </c>
      <c r="M30">
        <f>_xlfn.IFNA(VLOOKUP($A30,PredictionTable,MATCH(M$1,Analysts,0),FALSE),60)</f>
        <v>60</v>
      </c>
      <c r="N30">
        <f>_xlfn.IFNA(VLOOKUP($A30,PredictionTable,MATCH(N$1,Analysts,0),FALSE),60)</f>
        <v>60</v>
      </c>
      <c r="O30">
        <f>_xlfn.IFNA(VLOOKUP($A30,PredictionTable,MATCH(O$1,Analysts,0),FALSE),60)</f>
        <v>60</v>
      </c>
      <c r="P30">
        <f>_xlfn.IFNA(VLOOKUP($A30,PredictionTable,MATCH(P$1,Analysts,0),FALSE),60)</f>
        <v>60</v>
      </c>
      <c r="V30" s="7" t="s">
        <v>589</v>
      </c>
    </row>
    <row r="31" spans="1:22" x14ac:dyDescent="0.45">
      <c r="A31" s="1" t="s">
        <v>34</v>
      </c>
      <c r="B31" s="1" t="s">
        <v>5</v>
      </c>
      <c r="C31" s="1">
        <f>INDEX(T_Performances,MATCH($A31,T_Names,0))</f>
        <v>1</v>
      </c>
      <c r="D31">
        <v>119.94</v>
      </c>
      <c r="E31" s="1">
        <f>INDEX(T_Avg_PPG,MATCH($A31,T_Names,0))</f>
        <v>11.994</v>
      </c>
      <c r="F31">
        <f>1+COUNTIFS(T_Total,"&gt;"&amp;D31,T_Pos,$B31)</f>
        <v>30</v>
      </c>
      <c r="G31">
        <f>1+COUNTIFS(T_Avg_PPG,"&gt;"&amp;E31,T_Pos,$B31)</f>
        <v>46</v>
      </c>
      <c r="H31" t="str">
        <f>_xlfn.IFNA(VLOOKUP($A31,PredictionTable,MATCH(H$1,Analysts,0),FALSE),60)</f>
        <v>NR</v>
      </c>
      <c r="I31" t="str">
        <f>_xlfn.IFNA(VLOOKUP($A31,PredictionTable,MATCH(I$1,Analysts,0),FALSE),60)</f>
        <v>NR</v>
      </c>
      <c r="J31">
        <f>_xlfn.IFNA(VLOOKUP($A31,PredictionTable,MATCH(J$1,Analysts,0),FALSE),60)</f>
        <v>25</v>
      </c>
      <c r="K31">
        <f>_xlfn.IFNA(VLOOKUP($A31,PredictionTable,MATCH(K$1,Analysts,0),FALSE),60)</f>
        <v>24</v>
      </c>
      <c r="L31">
        <f>_xlfn.IFNA(VLOOKUP($A31,PredictionTable,MATCH(L$1,Analysts,0),FALSE),60)</f>
        <v>25</v>
      </c>
      <c r="M31">
        <f>_xlfn.IFNA(VLOOKUP($A31,PredictionTable,MATCH(M$1,Analysts,0),FALSE),60)</f>
        <v>24</v>
      </c>
      <c r="N31">
        <f>_xlfn.IFNA(VLOOKUP($A31,PredictionTable,MATCH(N$1,Analysts,0),FALSE),60)</f>
        <v>24</v>
      </c>
      <c r="O31">
        <f>_xlfn.IFNA(VLOOKUP($A31,PredictionTable,MATCH(O$1,Analysts,0),FALSE),60)</f>
        <v>22</v>
      </c>
      <c r="P31">
        <f>_xlfn.IFNA(VLOOKUP($A31,PredictionTable,MATCH(P$1,Analysts,0),FALSE),60)</f>
        <v>24.5</v>
      </c>
      <c r="V31" s="7" t="s">
        <v>589</v>
      </c>
    </row>
    <row r="32" spans="1:22" x14ac:dyDescent="0.45">
      <c r="A32" s="1" t="s">
        <v>35</v>
      </c>
      <c r="B32" s="1" t="s">
        <v>5</v>
      </c>
      <c r="C32" s="1">
        <f>INDEX(T_Performances,MATCH($A32,T_Names,0))</f>
        <v>3</v>
      </c>
      <c r="D32">
        <v>119.14</v>
      </c>
      <c r="E32" s="1">
        <f>INDEX(T_Avg_PPG,MATCH($A32,T_Names,0))</f>
        <v>14.8925</v>
      </c>
      <c r="F32">
        <f>1+COUNTIFS(T_Total,"&gt;"&amp;D32,T_Pos,$B32)</f>
        <v>31</v>
      </c>
      <c r="G32">
        <f>1+COUNTIFS(T_Avg_PPG,"&gt;"&amp;E32,T_Pos,$B32)</f>
        <v>28</v>
      </c>
      <c r="H32">
        <f>_xlfn.IFNA(VLOOKUP($A32,PredictionTable,MATCH(H$1,Analysts,0),FALSE),60)</f>
        <v>60</v>
      </c>
      <c r="I32">
        <f>_xlfn.IFNA(VLOOKUP($A32,PredictionTable,MATCH(I$1,Analysts,0),FALSE),60)</f>
        <v>60</v>
      </c>
      <c r="J32">
        <f>_xlfn.IFNA(VLOOKUP($A32,PredictionTable,MATCH(J$1,Analysts,0),FALSE),60)</f>
        <v>60</v>
      </c>
      <c r="K32">
        <f>_xlfn.IFNA(VLOOKUP($A32,PredictionTable,MATCH(K$1,Analysts,0),FALSE),60)</f>
        <v>60</v>
      </c>
      <c r="L32">
        <f>_xlfn.IFNA(VLOOKUP($A32,PredictionTable,MATCH(L$1,Analysts,0),FALSE),60)</f>
        <v>60</v>
      </c>
      <c r="M32">
        <f>_xlfn.IFNA(VLOOKUP($A32,PredictionTable,MATCH(M$1,Analysts,0),FALSE),60)</f>
        <v>60</v>
      </c>
      <c r="N32">
        <f>_xlfn.IFNA(VLOOKUP($A32,PredictionTable,MATCH(N$1,Analysts,0),FALSE),60)</f>
        <v>60</v>
      </c>
      <c r="O32">
        <f>_xlfn.IFNA(VLOOKUP($A32,PredictionTable,MATCH(O$1,Analysts,0),FALSE),60)</f>
        <v>60</v>
      </c>
      <c r="P32">
        <f>_xlfn.IFNA(VLOOKUP($A32,PredictionTable,MATCH(P$1,Analysts,0),FALSE),60)</f>
        <v>60</v>
      </c>
      <c r="V32" s="7" t="s">
        <v>589</v>
      </c>
    </row>
    <row r="33" spans="1:22" x14ac:dyDescent="0.45">
      <c r="A33" s="1" t="s">
        <v>36</v>
      </c>
      <c r="B33" s="1" t="s">
        <v>5</v>
      </c>
      <c r="C33" s="1">
        <f>INDEX(T_Performances,MATCH($A33,T_Names,0))</f>
        <v>2</v>
      </c>
      <c r="D33">
        <v>109.56</v>
      </c>
      <c r="E33" s="1">
        <f>INDEX(T_Avg_PPG,MATCH($A33,T_Names,0))</f>
        <v>13.695</v>
      </c>
      <c r="F33">
        <f>1+COUNTIFS(T_Total,"&gt;"&amp;D33,T_Pos,$B33)</f>
        <v>33</v>
      </c>
      <c r="G33">
        <f>1+COUNTIFS(T_Avg_PPG,"&gt;"&amp;E33,T_Pos,$B33)</f>
        <v>36</v>
      </c>
      <c r="H33">
        <f>_xlfn.IFNA(VLOOKUP($A33,PredictionTable,MATCH(H$1,Analysts,0),FALSE),60)</f>
        <v>60</v>
      </c>
      <c r="I33">
        <f>_xlfn.IFNA(VLOOKUP($A33,PredictionTable,MATCH(I$1,Analysts,0),FALSE),60)</f>
        <v>60</v>
      </c>
      <c r="J33">
        <f>_xlfn.IFNA(VLOOKUP($A33,PredictionTable,MATCH(J$1,Analysts,0),FALSE),60)</f>
        <v>60</v>
      </c>
      <c r="K33">
        <f>_xlfn.IFNA(VLOOKUP($A33,PredictionTable,MATCH(K$1,Analysts,0),FALSE),60)</f>
        <v>60</v>
      </c>
      <c r="L33">
        <f>_xlfn.IFNA(VLOOKUP($A33,PredictionTable,MATCH(L$1,Analysts,0),FALSE),60)</f>
        <v>60</v>
      </c>
      <c r="M33">
        <f>_xlfn.IFNA(VLOOKUP($A33,PredictionTable,MATCH(M$1,Analysts,0),FALSE),60)</f>
        <v>60</v>
      </c>
      <c r="N33">
        <f>_xlfn.IFNA(VLOOKUP($A33,PredictionTable,MATCH(N$1,Analysts,0),FALSE),60)</f>
        <v>60</v>
      </c>
      <c r="O33">
        <f>_xlfn.IFNA(VLOOKUP($A33,PredictionTable,MATCH(O$1,Analysts,0),FALSE),60)</f>
        <v>60</v>
      </c>
      <c r="P33">
        <f>_xlfn.IFNA(VLOOKUP($A33,PredictionTable,MATCH(P$1,Analysts,0),FALSE),60)</f>
        <v>60</v>
      </c>
      <c r="V33" s="7" t="s">
        <v>589</v>
      </c>
    </row>
    <row r="34" spans="1:22" x14ac:dyDescent="0.45">
      <c r="A34" s="1" t="s">
        <v>37</v>
      </c>
      <c r="B34" s="1" t="s">
        <v>5</v>
      </c>
      <c r="C34" s="1">
        <f>INDEX(T_Performances,MATCH($A34,T_Names,0))</f>
        <v>1</v>
      </c>
      <c r="D34">
        <v>116.52</v>
      </c>
      <c r="E34" s="1">
        <f>INDEX(T_Avg_PPG,MATCH($A34,T_Names,0))</f>
        <v>14.565</v>
      </c>
      <c r="F34">
        <f>1+COUNTIFS(T_Total,"&gt;"&amp;D34,T_Pos,$B34)</f>
        <v>32</v>
      </c>
      <c r="G34">
        <f>1+COUNTIFS(T_Avg_PPG,"&gt;"&amp;E34,T_Pos,$B34)</f>
        <v>33</v>
      </c>
      <c r="H34">
        <f>_xlfn.IFNA(VLOOKUP($A34,PredictionTable,MATCH(H$1,Analysts,0),FALSE),60)</f>
        <v>8</v>
      </c>
      <c r="I34">
        <f>_xlfn.IFNA(VLOOKUP($A34,PredictionTable,MATCH(I$1,Analysts,0),FALSE),60)</f>
        <v>8</v>
      </c>
      <c r="J34">
        <f>_xlfn.IFNA(VLOOKUP($A34,PredictionTable,MATCH(J$1,Analysts,0),FALSE),60)</f>
        <v>8</v>
      </c>
      <c r="K34">
        <f>_xlfn.IFNA(VLOOKUP($A34,PredictionTable,MATCH(K$1,Analysts,0),FALSE),60)</f>
        <v>7</v>
      </c>
      <c r="L34">
        <f>_xlfn.IFNA(VLOOKUP($A34,PredictionTable,MATCH(L$1,Analysts,0),FALSE),60)</f>
        <v>7</v>
      </c>
      <c r="M34">
        <f>_xlfn.IFNA(VLOOKUP($A34,PredictionTable,MATCH(M$1,Analysts,0),FALSE),60)</f>
        <v>8</v>
      </c>
      <c r="N34">
        <f>_xlfn.IFNA(VLOOKUP($A34,PredictionTable,MATCH(N$1,Analysts,0),FALSE),60)</f>
        <v>8</v>
      </c>
      <c r="O34">
        <f>_xlfn.IFNA(VLOOKUP($A34,PredictionTable,MATCH(O$1,Analysts,0),FALSE),60)</f>
        <v>8</v>
      </c>
      <c r="P34">
        <f>_xlfn.IFNA(VLOOKUP($A34,PredictionTable,MATCH(P$1,Analysts,0),FALSE),60)</f>
        <v>7.8</v>
      </c>
      <c r="V34" s="7" t="s">
        <v>589</v>
      </c>
    </row>
    <row r="35" spans="1:22" x14ac:dyDescent="0.45">
      <c r="A35" s="1" t="s">
        <v>38</v>
      </c>
      <c r="B35" s="1" t="s">
        <v>5</v>
      </c>
      <c r="C35" s="1">
        <f>INDEX(T_Performances,MATCH($A35,T_Names,0))</f>
        <v>1</v>
      </c>
      <c r="D35">
        <v>99.04</v>
      </c>
      <c r="E35" s="1">
        <f>INDEX(T_Avg_PPG,MATCH($A35,T_Names,0))</f>
        <v>14.148571428571429</v>
      </c>
      <c r="F35">
        <f>1+COUNTIFS(T_Total,"&gt;"&amp;D35,T_Pos,$B35)</f>
        <v>34</v>
      </c>
      <c r="G35">
        <f>1+COUNTIFS(T_Avg_PPG,"&gt;"&amp;E35,T_Pos,$B35)</f>
        <v>35</v>
      </c>
      <c r="H35">
        <f>_xlfn.IFNA(VLOOKUP($A35,PredictionTable,MATCH(H$1,Analysts,0),FALSE),60)</f>
        <v>60</v>
      </c>
      <c r="I35">
        <f>_xlfn.IFNA(VLOOKUP($A35,PredictionTable,MATCH(I$1,Analysts,0),FALSE),60)</f>
        <v>60</v>
      </c>
      <c r="J35">
        <f>_xlfn.IFNA(VLOOKUP($A35,PredictionTable,MATCH(J$1,Analysts,0),FALSE),60)</f>
        <v>60</v>
      </c>
      <c r="K35">
        <f>_xlfn.IFNA(VLOOKUP($A35,PredictionTable,MATCH(K$1,Analysts,0),FALSE),60)</f>
        <v>60</v>
      </c>
      <c r="L35">
        <f>_xlfn.IFNA(VLOOKUP($A35,PredictionTable,MATCH(L$1,Analysts,0),FALSE),60)</f>
        <v>60</v>
      </c>
      <c r="M35">
        <f>_xlfn.IFNA(VLOOKUP($A35,PredictionTable,MATCH(M$1,Analysts,0),FALSE),60)</f>
        <v>60</v>
      </c>
      <c r="N35">
        <f>_xlfn.IFNA(VLOOKUP($A35,PredictionTable,MATCH(N$1,Analysts,0),FALSE),60)</f>
        <v>60</v>
      </c>
      <c r="O35">
        <f>_xlfn.IFNA(VLOOKUP($A35,PredictionTable,MATCH(O$1,Analysts,0),FALSE),60)</f>
        <v>60</v>
      </c>
      <c r="P35">
        <f>_xlfn.IFNA(VLOOKUP($A35,PredictionTable,MATCH(P$1,Analysts,0),FALSE),60)</f>
        <v>60</v>
      </c>
      <c r="V35" s="7" t="s">
        <v>589</v>
      </c>
    </row>
    <row r="36" spans="1:22" x14ac:dyDescent="0.45">
      <c r="A36" s="1" t="s">
        <v>39</v>
      </c>
      <c r="B36" s="1" t="s">
        <v>5</v>
      </c>
      <c r="C36" s="1">
        <f>INDEX(T_Performances,MATCH($A36,T_Names,0))</f>
        <v>3</v>
      </c>
      <c r="D36">
        <v>96.08</v>
      </c>
      <c r="E36" s="1">
        <f>INDEX(T_Avg_PPG,MATCH($A36,T_Names,0))</f>
        <v>12.01</v>
      </c>
      <c r="F36">
        <f>1+COUNTIFS(T_Total,"&gt;"&amp;D36,T_Pos,$B36)</f>
        <v>36</v>
      </c>
      <c r="G36">
        <f>1+COUNTIFS(T_Avg_PPG,"&gt;"&amp;E36,T_Pos,$B36)</f>
        <v>45</v>
      </c>
      <c r="H36">
        <f>_xlfn.IFNA(VLOOKUP($A36,PredictionTable,MATCH(H$1,Analysts,0),FALSE),60)</f>
        <v>60</v>
      </c>
      <c r="I36">
        <f>_xlfn.IFNA(VLOOKUP($A36,PredictionTable,MATCH(I$1,Analysts,0),FALSE),60)</f>
        <v>60</v>
      </c>
      <c r="J36">
        <f>_xlfn.IFNA(VLOOKUP($A36,PredictionTable,MATCH(J$1,Analysts,0),FALSE),60)</f>
        <v>60</v>
      </c>
      <c r="K36">
        <f>_xlfn.IFNA(VLOOKUP($A36,PredictionTable,MATCH(K$1,Analysts,0),FALSE),60)</f>
        <v>60</v>
      </c>
      <c r="L36">
        <f>_xlfn.IFNA(VLOOKUP($A36,PredictionTable,MATCH(L$1,Analysts,0),FALSE),60)</f>
        <v>60</v>
      </c>
      <c r="M36">
        <f>_xlfn.IFNA(VLOOKUP($A36,PredictionTable,MATCH(M$1,Analysts,0),FALSE),60)</f>
        <v>60</v>
      </c>
      <c r="N36">
        <f>_xlfn.IFNA(VLOOKUP($A36,PredictionTable,MATCH(N$1,Analysts,0),FALSE),60)</f>
        <v>60</v>
      </c>
      <c r="O36">
        <f>_xlfn.IFNA(VLOOKUP($A36,PredictionTable,MATCH(O$1,Analysts,0),FALSE),60)</f>
        <v>60</v>
      </c>
      <c r="P36">
        <f>_xlfn.IFNA(VLOOKUP($A36,PredictionTable,MATCH(P$1,Analysts,0),FALSE),60)</f>
        <v>60</v>
      </c>
      <c r="V36" s="7" t="s">
        <v>589</v>
      </c>
    </row>
    <row r="37" spans="1:22" x14ac:dyDescent="0.45">
      <c r="A37" s="1" t="s">
        <v>40</v>
      </c>
      <c r="B37" s="1" t="s">
        <v>5</v>
      </c>
      <c r="C37" s="1">
        <f>INDEX(T_Performances,MATCH($A37,T_Names,0))</f>
        <v>2</v>
      </c>
      <c r="D37">
        <v>95.8</v>
      </c>
      <c r="E37" s="1">
        <f>INDEX(T_Avg_PPG,MATCH($A37,T_Names,0))</f>
        <v>11.975</v>
      </c>
      <c r="F37">
        <f>1+COUNTIFS(T_Total,"&gt;"&amp;D37,T_Pos,$B37)</f>
        <v>37</v>
      </c>
      <c r="G37">
        <f>1+COUNTIFS(T_Avg_PPG,"&gt;"&amp;E37,T_Pos,$B37)</f>
        <v>47</v>
      </c>
      <c r="H37">
        <f>_xlfn.IFNA(VLOOKUP($A37,PredictionTable,MATCH(H$1,Analysts,0),FALSE),60)</f>
        <v>60</v>
      </c>
      <c r="I37">
        <f>_xlfn.IFNA(VLOOKUP($A37,PredictionTable,MATCH(I$1,Analysts,0),FALSE),60)</f>
        <v>60</v>
      </c>
      <c r="J37">
        <f>_xlfn.IFNA(VLOOKUP($A37,PredictionTable,MATCH(J$1,Analysts,0),FALSE),60)</f>
        <v>60</v>
      </c>
      <c r="K37">
        <f>_xlfn.IFNA(VLOOKUP($A37,PredictionTable,MATCH(K$1,Analysts,0),FALSE),60)</f>
        <v>60</v>
      </c>
      <c r="L37">
        <f>_xlfn.IFNA(VLOOKUP($A37,PredictionTable,MATCH(L$1,Analysts,0),FALSE),60)</f>
        <v>60</v>
      </c>
      <c r="M37">
        <f>_xlfn.IFNA(VLOOKUP($A37,PredictionTable,MATCH(M$1,Analysts,0),FALSE),60)</f>
        <v>60</v>
      </c>
      <c r="N37">
        <f>_xlfn.IFNA(VLOOKUP($A37,PredictionTable,MATCH(N$1,Analysts,0),FALSE),60)</f>
        <v>60</v>
      </c>
      <c r="O37">
        <f>_xlfn.IFNA(VLOOKUP($A37,PredictionTable,MATCH(O$1,Analysts,0),FALSE),60)</f>
        <v>60</v>
      </c>
      <c r="P37">
        <f>_xlfn.IFNA(VLOOKUP($A37,PredictionTable,MATCH(P$1,Analysts,0),FALSE),60)</f>
        <v>60</v>
      </c>
      <c r="V37" s="7" t="s">
        <v>589</v>
      </c>
    </row>
    <row r="38" spans="1:22" x14ac:dyDescent="0.45">
      <c r="A38" s="1" t="s">
        <v>41</v>
      </c>
      <c r="B38" s="1" t="s">
        <v>5</v>
      </c>
      <c r="C38" s="1">
        <f>INDEX(T_Performances,MATCH($A38,T_Names,0))</f>
        <v>2</v>
      </c>
      <c r="D38">
        <v>93.48</v>
      </c>
      <c r="E38" s="1">
        <f>INDEX(T_Avg_PPG,MATCH($A38,T_Names,0))</f>
        <v>10.386666666666667</v>
      </c>
      <c r="F38">
        <f>1+COUNTIFS(T_Total,"&gt;"&amp;D38,T_Pos,$B38)</f>
        <v>38</v>
      </c>
      <c r="G38">
        <f>1+COUNTIFS(T_Avg_PPG,"&gt;"&amp;E38,T_Pos,$B38)</f>
        <v>50</v>
      </c>
      <c r="H38">
        <f>_xlfn.IFNA(VLOOKUP($A38,PredictionTable,MATCH(H$1,Analysts,0),FALSE),60)</f>
        <v>60</v>
      </c>
      <c r="I38">
        <f>_xlfn.IFNA(VLOOKUP($A38,PredictionTable,MATCH(I$1,Analysts,0),FALSE),60)</f>
        <v>60</v>
      </c>
      <c r="J38">
        <f>_xlfn.IFNA(VLOOKUP($A38,PredictionTable,MATCH(J$1,Analysts,0),FALSE),60)</f>
        <v>60</v>
      </c>
      <c r="K38">
        <f>_xlfn.IFNA(VLOOKUP($A38,PredictionTable,MATCH(K$1,Analysts,0),FALSE),60)</f>
        <v>60</v>
      </c>
      <c r="L38">
        <f>_xlfn.IFNA(VLOOKUP($A38,PredictionTable,MATCH(L$1,Analysts,0),FALSE),60)</f>
        <v>60</v>
      </c>
      <c r="M38">
        <f>_xlfn.IFNA(VLOOKUP($A38,PredictionTable,MATCH(M$1,Analysts,0),FALSE),60)</f>
        <v>60</v>
      </c>
      <c r="N38">
        <f>_xlfn.IFNA(VLOOKUP($A38,PredictionTable,MATCH(N$1,Analysts,0),FALSE),60)</f>
        <v>60</v>
      </c>
      <c r="O38">
        <f>_xlfn.IFNA(VLOOKUP($A38,PredictionTable,MATCH(O$1,Analysts,0),FALSE),60)</f>
        <v>60</v>
      </c>
      <c r="P38">
        <f>_xlfn.IFNA(VLOOKUP($A38,PredictionTable,MATCH(P$1,Analysts,0),FALSE),60)</f>
        <v>60</v>
      </c>
      <c r="V38" s="7" t="s">
        <v>589</v>
      </c>
    </row>
    <row r="39" spans="1:22" x14ac:dyDescent="0.45">
      <c r="A39" s="1" t="s">
        <v>42</v>
      </c>
      <c r="B39" s="1" t="s">
        <v>5</v>
      </c>
      <c r="C39" s="1">
        <f>INDEX(T_Performances,MATCH($A39,T_Names,0))</f>
        <v>0</v>
      </c>
      <c r="D39">
        <v>76.72</v>
      </c>
      <c r="E39" s="1">
        <f>INDEX(T_Avg_PPG,MATCH($A39,T_Names,0))</f>
        <v>10.959999999999999</v>
      </c>
      <c r="F39">
        <f>1+COUNTIFS(T_Total,"&gt;"&amp;D39,T_Pos,$B39)</f>
        <v>40</v>
      </c>
      <c r="G39">
        <f>1+COUNTIFS(T_Avg_PPG,"&gt;"&amp;E39,T_Pos,$B39)</f>
        <v>48</v>
      </c>
      <c r="H39">
        <f>_xlfn.IFNA(VLOOKUP($A39,PredictionTable,MATCH(H$1,Analysts,0),FALSE),60)</f>
        <v>19</v>
      </c>
      <c r="I39">
        <f>_xlfn.IFNA(VLOOKUP($A39,PredictionTable,MATCH(I$1,Analysts,0),FALSE),60)</f>
        <v>17</v>
      </c>
      <c r="J39">
        <f>_xlfn.IFNA(VLOOKUP($A39,PredictionTable,MATCH(J$1,Analysts,0),FALSE),60)</f>
        <v>17</v>
      </c>
      <c r="K39">
        <f>_xlfn.IFNA(VLOOKUP($A39,PredictionTable,MATCH(K$1,Analysts,0),FALSE),60)</f>
        <v>20</v>
      </c>
      <c r="L39">
        <f>_xlfn.IFNA(VLOOKUP($A39,PredictionTable,MATCH(L$1,Analysts,0),FALSE),60)</f>
        <v>22</v>
      </c>
      <c r="M39">
        <f>_xlfn.IFNA(VLOOKUP($A39,PredictionTable,MATCH(M$1,Analysts,0),FALSE),60)</f>
        <v>19</v>
      </c>
      <c r="N39">
        <f>_xlfn.IFNA(VLOOKUP($A39,PredictionTable,MATCH(N$1,Analysts,0),FALSE),60)</f>
        <v>20</v>
      </c>
      <c r="O39">
        <f>_xlfn.IFNA(VLOOKUP($A39,PredictionTable,MATCH(O$1,Analysts,0),FALSE),60)</f>
        <v>19</v>
      </c>
      <c r="P39">
        <f>_xlfn.IFNA(VLOOKUP($A39,PredictionTable,MATCH(P$1,Analysts,0),FALSE),60)</f>
        <v>19.100000000000001</v>
      </c>
      <c r="V39" s="7" t="s">
        <v>589</v>
      </c>
    </row>
    <row r="40" spans="1:22" x14ac:dyDescent="0.45">
      <c r="A40" s="1" t="s">
        <v>43</v>
      </c>
      <c r="B40" s="1" t="s">
        <v>5</v>
      </c>
      <c r="C40" s="1">
        <f>INDEX(T_Performances,MATCH($A40,T_Names,0))</f>
        <v>1</v>
      </c>
      <c r="D40">
        <v>58.96</v>
      </c>
      <c r="E40" s="1">
        <f>INDEX(T_Avg_PPG,MATCH($A40,T_Names,0))</f>
        <v>14.74</v>
      </c>
      <c r="F40">
        <f>1+COUNTIFS(T_Total,"&gt;"&amp;D40,T_Pos,$B40)</f>
        <v>43</v>
      </c>
      <c r="G40">
        <f>1+COUNTIFS(T_Avg_PPG,"&gt;"&amp;E40,T_Pos,$B40)</f>
        <v>31</v>
      </c>
      <c r="H40">
        <f>_xlfn.IFNA(VLOOKUP($A40,PredictionTable,MATCH(H$1,Analysts,0),FALSE),60)</f>
        <v>60</v>
      </c>
      <c r="I40">
        <f>_xlfn.IFNA(VLOOKUP($A40,PredictionTable,MATCH(I$1,Analysts,0),FALSE),60)</f>
        <v>60</v>
      </c>
      <c r="J40">
        <f>_xlfn.IFNA(VLOOKUP($A40,PredictionTable,MATCH(J$1,Analysts,0),FALSE),60)</f>
        <v>60</v>
      </c>
      <c r="K40">
        <f>_xlfn.IFNA(VLOOKUP($A40,PredictionTable,MATCH(K$1,Analysts,0),FALSE),60)</f>
        <v>60</v>
      </c>
      <c r="L40">
        <f>_xlfn.IFNA(VLOOKUP($A40,PredictionTable,MATCH(L$1,Analysts,0),FALSE),60)</f>
        <v>60</v>
      </c>
      <c r="M40">
        <f>_xlfn.IFNA(VLOOKUP($A40,PredictionTable,MATCH(M$1,Analysts,0),FALSE),60)</f>
        <v>60</v>
      </c>
      <c r="N40">
        <f>_xlfn.IFNA(VLOOKUP($A40,PredictionTable,MATCH(N$1,Analysts,0),FALSE),60)</f>
        <v>60</v>
      </c>
      <c r="O40">
        <f>_xlfn.IFNA(VLOOKUP($A40,PredictionTable,MATCH(O$1,Analysts,0),FALSE),60)</f>
        <v>60</v>
      </c>
      <c r="P40">
        <f>_xlfn.IFNA(VLOOKUP($A40,PredictionTable,MATCH(P$1,Analysts,0),FALSE),60)</f>
        <v>60</v>
      </c>
      <c r="V40" s="7" t="s">
        <v>589</v>
      </c>
    </row>
    <row r="41" spans="1:22" x14ac:dyDescent="0.45">
      <c r="A41" s="1" t="s">
        <v>44</v>
      </c>
      <c r="B41" s="1" t="s">
        <v>5</v>
      </c>
      <c r="C41" s="1">
        <f>INDEX(T_Performances,MATCH($A41,T_Names,0))</f>
        <v>2</v>
      </c>
      <c r="D41">
        <v>45.76</v>
      </c>
      <c r="E41" s="1">
        <f>INDEX(T_Avg_PPG,MATCH($A41,T_Names,0))</f>
        <v>22.88</v>
      </c>
      <c r="F41">
        <f>1+COUNTIFS(T_Total,"&gt;"&amp;D41,T_Pos,$B41)</f>
        <v>45</v>
      </c>
      <c r="G41">
        <f>1+COUNTIFS(T_Avg_PPG,"&gt;"&amp;E41,T_Pos,$B41)</f>
        <v>3</v>
      </c>
      <c r="H41">
        <f>_xlfn.IFNA(VLOOKUP($A41,PredictionTable,MATCH(H$1,Analysts,0),FALSE),60)</f>
        <v>60</v>
      </c>
      <c r="I41">
        <f>_xlfn.IFNA(VLOOKUP($A41,PredictionTable,MATCH(I$1,Analysts,0),FALSE),60)</f>
        <v>60</v>
      </c>
      <c r="J41">
        <f>_xlfn.IFNA(VLOOKUP($A41,PredictionTable,MATCH(J$1,Analysts,0),FALSE),60)</f>
        <v>60</v>
      </c>
      <c r="K41">
        <f>_xlfn.IFNA(VLOOKUP($A41,PredictionTable,MATCH(K$1,Analysts,0),FALSE),60)</f>
        <v>60</v>
      </c>
      <c r="L41">
        <f>_xlfn.IFNA(VLOOKUP($A41,PredictionTable,MATCH(L$1,Analysts,0),FALSE),60)</f>
        <v>60</v>
      </c>
      <c r="M41">
        <f>_xlfn.IFNA(VLOOKUP($A41,PredictionTable,MATCH(M$1,Analysts,0),FALSE),60)</f>
        <v>60</v>
      </c>
      <c r="N41">
        <f>_xlfn.IFNA(VLOOKUP($A41,PredictionTable,MATCH(N$1,Analysts,0),FALSE),60)</f>
        <v>60</v>
      </c>
      <c r="O41">
        <f>_xlfn.IFNA(VLOOKUP($A41,PredictionTable,MATCH(O$1,Analysts,0),FALSE),60)</f>
        <v>60</v>
      </c>
      <c r="P41">
        <f>_xlfn.IFNA(VLOOKUP($A41,PredictionTable,MATCH(P$1,Analysts,0),FALSE),60)</f>
        <v>60</v>
      </c>
      <c r="V41" s="7" t="s">
        <v>589</v>
      </c>
    </row>
    <row r="42" spans="1:22" x14ac:dyDescent="0.45">
      <c r="A42" s="1" t="s">
        <v>45</v>
      </c>
      <c r="B42" s="1" t="s">
        <v>5</v>
      </c>
      <c r="C42" s="1">
        <f>INDEX(T_Performances,MATCH($A42,T_Names,0))</f>
        <v>1</v>
      </c>
      <c r="D42">
        <v>96.32</v>
      </c>
      <c r="E42" s="1">
        <f>INDEX(T_Avg_PPG,MATCH($A42,T_Names,0))</f>
        <v>10.702222222222222</v>
      </c>
      <c r="F42">
        <f>1+COUNTIFS(T_Total,"&gt;"&amp;D42,T_Pos,$B42)</f>
        <v>35</v>
      </c>
      <c r="G42">
        <f>1+COUNTIFS(T_Avg_PPG,"&gt;"&amp;E42,T_Pos,$B42)</f>
        <v>49</v>
      </c>
      <c r="H42">
        <f>_xlfn.IFNA(VLOOKUP($A42,PredictionTable,MATCH(H$1,Analysts,0),FALSE),60)</f>
        <v>60</v>
      </c>
      <c r="I42">
        <f>_xlfn.IFNA(VLOOKUP($A42,PredictionTable,MATCH(I$1,Analysts,0),FALSE),60)</f>
        <v>60</v>
      </c>
      <c r="J42">
        <f>_xlfn.IFNA(VLOOKUP($A42,PredictionTable,MATCH(J$1,Analysts,0),FALSE),60)</f>
        <v>60</v>
      </c>
      <c r="K42">
        <f>_xlfn.IFNA(VLOOKUP($A42,PredictionTable,MATCH(K$1,Analysts,0),FALSE),60)</f>
        <v>60</v>
      </c>
      <c r="L42">
        <f>_xlfn.IFNA(VLOOKUP($A42,PredictionTable,MATCH(L$1,Analysts,0),FALSE),60)</f>
        <v>60</v>
      </c>
      <c r="M42">
        <f>_xlfn.IFNA(VLOOKUP($A42,PredictionTable,MATCH(M$1,Analysts,0),FALSE),60)</f>
        <v>60</v>
      </c>
      <c r="N42">
        <f>_xlfn.IFNA(VLOOKUP($A42,PredictionTable,MATCH(N$1,Analysts,0),FALSE),60)</f>
        <v>60</v>
      </c>
      <c r="O42">
        <f>_xlfn.IFNA(VLOOKUP($A42,PredictionTable,MATCH(O$1,Analysts,0),FALSE),60)</f>
        <v>60</v>
      </c>
      <c r="P42">
        <f>_xlfn.IFNA(VLOOKUP($A42,PredictionTable,MATCH(P$1,Analysts,0),FALSE),60)</f>
        <v>60</v>
      </c>
      <c r="V42" s="7" t="s">
        <v>589</v>
      </c>
    </row>
    <row r="43" spans="1:22" x14ac:dyDescent="0.45">
      <c r="A43" s="1" t="s">
        <v>46</v>
      </c>
      <c r="B43" s="1" t="s">
        <v>5</v>
      </c>
      <c r="C43" s="1">
        <f>INDEX(T_Performances,MATCH($A43,T_Names,0))</f>
        <v>1</v>
      </c>
      <c r="D43">
        <v>80.14</v>
      </c>
      <c r="E43" s="1">
        <f>INDEX(T_Avg_PPG,MATCH($A43,T_Names,0))</f>
        <v>13.356666666666667</v>
      </c>
      <c r="F43">
        <f>1+COUNTIFS(T_Total,"&gt;"&amp;D43,T_Pos,$B43)</f>
        <v>39</v>
      </c>
      <c r="G43">
        <f>1+COUNTIFS(T_Avg_PPG,"&gt;"&amp;E43,T_Pos,$B43)</f>
        <v>39</v>
      </c>
      <c r="H43">
        <f>_xlfn.IFNA(VLOOKUP($A43,PredictionTable,MATCH(H$1,Analysts,0),FALSE),60)</f>
        <v>60</v>
      </c>
      <c r="I43">
        <f>_xlfn.IFNA(VLOOKUP($A43,PredictionTable,MATCH(I$1,Analysts,0),FALSE),60)</f>
        <v>60</v>
      </c>
      <c r="J43">
        <f>_xlfn.IFNA(VLOOKUP($A43,PredictionTable,MATCH(J$1,Analysts,0),FALSE),60)</f>
        <v>60</v>
      </c>
      <c r="K43">
        <f>_xlfn.IFNA(VLOOKUP($A43,PredictionTable,MATCH(K$1,Analysts,0),FALSE),60)</f>
        <v>60</v>
      </c>
      <c r="L43">
        <f>_xlfn.IFNA(VLOOKUP($A43,PredictionTable,MATCH(L$1,Analysts,0),FALSE),60)</f>
        <v>60</v>
      </c>
      <c r="M43">
        <f>_xlfn.IFNA(VLOOKUP($A43,PredictionTable,MATCH(M$1,Analysts,0),FALSE),60)</f>
        <v>60</v>
      </c>
      <c r="N43">
        <f>_xlfn.IFNA(VLOOKUP($A43,PredictionTable,MATCH(N$1,Analysts,0),FALSE),60)</f>
        <v>60</v>
      </c>
      <c r="O43">
        <f>_xlfn.IFNA(VLOOKUP($A43,PredictionTable,MATCH(O$1,Analysts,0),FALSE),60)</f>
        <v>60</v>
      </c>
      <c r="P43">
        <f>_xlfn.IFNA(VLOOKUP($A43,PredictionTable,MATCH(P$1,Analysts,0),FALSE),60)</f>
        <v>60</v>
      </c>
      <c r="V43" s="7" t="s">
        <v>589</v>
      </c>
    </row>
    <row r="44" spans="1:22" x14ac:dyDescent="0.45">
      <c r="A44" s="1" t="s">
        <v>47</v>
      </c>
      <c r="B44" s="1" t="s">
        <v>5</v>
      </c>
      <c r="C44" s="1">
        <f>INDEX(T_Performances,MATCH($A44,T_Names,0))</f>
        <v>1</v>
      </c>
      <c r="D44">
        <v>60.66</v>
      </c>
      <c r="E44" s="1">
        <f>INDEX(T_Avg_PPG,MATCH($A44,T_Names,0))</f>
        <v>12.132</v>
      </c>
      <c r="F44">
        <f>1+COUNTIFS(T_Total,"&gt;"&amp;D44,T_Pos,$B44)</f>
        <v>42</v>
      </c>
      <c r="G44">
        <f>1+COUNTIFS(T_Avg_PPG,"&gt;"&amp;E44,T_Pos,$B44)</f>
        <v>44</v>
      </c>
      <c r="H44">
        <f>_xlfn.IFNA(VLOOKUP($A44,PredictionTable,MATCH(H$1,Analysts,0),FALSE),60)</f>
        <v>60</v>
      </c>
      <c r="I44">
        <f>_xlfn.IFNA(VLOOKUP($A44,PredictionTable,MATCH(I$1,Analysts,0),FALSE),60)</f>
        <v>60</v>
      </c>
      <c r="J44">
        <f>_xlfn.IFNA(VLOOKUP($A44,PredictionTable,MATCH(J$1,Analysts,0),FALSE),60)</f>
        <v>60</v>
      </c>
      <c r="K44">
        <f>_xlfn.IFNA(VLOOKUP($A44,PredictionTable,MATCH(K$1,Analysts,0),FALSE),60)</f>
        <v>60</v>
      </c>
      <c r="L44">
        <f>_xlfn.IFNA(VLOOKUP($A44,PredictionTable,MATCH(L$1,Analysts,0),FALSE),60)</f>
        <v>60</v>
      </c>
      <c r="M44">
        <f>_xlfn.IFNA(VLOOKUP($A44,PredictionTable,MATCH(M$1,Analysts,0),FALSE),60)</f>
        <v>60</v>
      </c>
      <c r="N44">
        <f>_xlfn.IFNA(VLOOKUP($A44,PredictionTable,MATCH(N$1,Analysts,0),FALSE),60)</f>
        <v>60</v>
      </c>
      <c r="O44">
        <f>_xlfn.IFNA(VLOOKUP($A44,PredictionTable,MATCH(O$1,Analysts,0),FALSE),60)</f>
        <v>60</v>
      </c>
      <c r="P44">
        <f>_xlfn.IFNA(VLOOKUP($A44,PredictionTable,MATCH(P$1,Analysts,0),FALSE),60)</f>
        <v>60</v>
      </c>
      <c r="V44" s="7" t="s">
        <v>589</v>
      </c>
    </row>
    <row r="45" spans="1:22" x14ac:dyDescent="0.45">
      <c r="A45" s="1" t="s">
        <v>48</v>
      </c>
      <c r="B45" s="1" t="s">
        <v>5</v>
      </c>
      <c r="C45" s="1">
        <f>INDEX(T_Performances,MATCH($A45,T_Names,0))</f>
        <v>1</v>
      </c>
      <c r="D45">
        <v>51.8</v>
      </c>
      <c r="E45" s="1">
        <f>INDEX(T_Avg_PPG,MATCH($A45,T_Names,0))</f>
        <v>10.36</v>
      </c>
      <c r="F45">
        <f>1+COUNTIFS(T_Total,"&gt;"&amp;D45,T_Pos,$B45)</f>
        <v>44</v>
      </c>
      <c r="G45">
        <f>1+COUNTIFS(T_Avg_PPG,"&gt;"&amp;E45,T_Pos,$B45)</f>
        <v>51</v>
      </c>
      <c r="H45">
        <f>_xlfn.IFNA(VLOOKUP($A45,PredictionTable,MATCH(H$1,Analysts,0),FALSE),60)</f>
        <v>60</v>
      </c>
      <c r="I45">
        <f>_xlfn.IFNA(VLOOKUP($A45,PredictionTable,MATCH(I$1,Analysts,0),FALSE),60)</f>
        <v>60</v>
      </c>
      <c r="J45">
        <f>_xlfn.IFNA(VLOOKUP($A45,PredictionTable,MATCH(J$1,Analysts,0),FALSE),60)</f>
        <v>60</v>
      </c>
      <c r="K45">
        <f>_xlfn.IFNA(VLOOKUP($A45,PredictionTable,MATCH(K$1,Analysts,0),FALSE),60)</f>
        <v>60</v>
      </c>
      <c r="L45">
        <f>_xlfn.IFNA(VLOOKUP($A45,PredictionTable,MATCH(L$1,Analysts,0),FALSE),60)</f>
        <v>60</v>
      </c>
      <c r="M45">
        <f>_xlfn.IFNA(VLOOKUP($A45,PredictionTable,MATCH(M$1,Analysts,0),FALSE),60)</f>
        <v>60</v>
      </c>
      <c r="N45">
        <f>_xlfn.IFNA(VLOOKUP($A45,PredictionTable,MATCH(N$1,Analysts,0),FALSE),60)</f>
        <v>60</v>
      </c>
      <c r="O45">
        <f>_xlfn.IFNA(VLOOKUP($A45,PredictionTable,MATCH(O$1,Analysts,0),FALSE),60)</f>
        <v>60</v>
      </c>
      <c r="P45">
        <f>_xlfn.IFNA(VLOOKUP($A45,PredictionTable,MATCH(P$1,Analysts,0),FALSE),60)</f>
        <v>60</v>
      </c>
      <c r="V45" s="7" t="s">
        <v>589</v>
      </c>
    </row>
    <row r="46" spans="1:22" x14ac:dyDescent="0.45">
      <c r="A46" s="1" t="s">
        <v>49</v>
      </c>
      <c r="B46" s="1" t="s">
        <v>5</v>
      </c>
      <c r="C46" s="1">
        <f>INDEX(T_Performances,MATCH($A46,T_Names,0))</f>
        <v>1</v>
      </c>
      <c r="D46">
        <v>44.1</v>
      </c>
      <c r="E46" s="1">
        <f>INDEX(T_Avg_PPG,MATCH($A46,T_Names,0))</f>
        <v>14.700000000000001</v>
      </c>
      <c r="F46">
        <f>1+COUNTIFS(T_Total,"&gt;"&amp;D46,T_Pos,$B46)</f>
        <v>47</v>
      </c>
      <c r="G46">
        <f>1+COUNTIFS(T_Avg_PPG,"&gt;"&amp;E46,T_Pos,$B46)</f>
        <v>32</v>
      </c>
      <c r="H46">
        <f>_xlfn.IFNA(VLOOKUP($A46,PredictionTable,MATCH(H$1,Analysts,0),FALSE),60)</f>
        <v>60</v>
      </c>
      <c r="I46">
        <f>_xlfn.IFNA(VLOOKUP($A46,PredictionTable,MATCH(I$1,Analysts,0),FALSE),60)</f>
        <v>60</v>
      </c>
      <c r="J46">
        <f>_xlfn.IFNA(VLOOKUP($A46,PredictionTable,MATCH(J$1,Analysts,0),FALSE),60)</f>
        <v>60</v>
      </c>
      <c r="K46">
        <f>_xlfn.IFNA(VLOOKUP($A46,PredictionTable,MATCH(K$1,Analysts,0),FALSE),60)</f>
        <v>60</v>
      </c>
      <c r="L46">
        <f>_xlfn.IFNA(VLOOKUP($A46,PredictionTable,MATCH(L$1,Analysts,0),FALSE),60)</f>
        <v>60</v>
      </c>
      <c r="M46">
        <f>_xlfn.IFNA(VLOOKUP($A46,PredictionTable,MATCH(M$1,Analysts,0),FALSE),60)</f>
        <v>60</v>
      </c>
      <c r="N46">
        <f>_xlfn.IFNA(VLOOKUP($A46,PredictionTable,MATCH(N$1,Analysts,0),FALSE),60)</f>
        <v>60</v>
      </c>
      <c r="O46">
        <f>_xlfn.IFNA(VLOOKUP($A46,PredictionTable,MATCH(O$1,Analysts,0),FALSE),60)</f>
        <v>60</v>
      </c>
      <c r="P46">
        <f>_xlfn.IFNA(VLOOKUP($A46,PredictionTable,MATCH(P$1,Analysts,0),FALSE),60)</f>
        <v>60</v>
      </c>
      <c r="V46" s="7" t="s">
        <v>589</v>
      </c>
    </row>
    <row r="47" spans="1:22" x14ac:dyDescent="0.45">
      <c r="A47" s="1" t="s">
        <v>50</v>
      </c>
      <c r="B47" s="1" t="s">
        <v>5</v>
      </c>
      <c r="C47" s="1">
        <f>INDEX(T_Performances,MATCH($A47,T_Names,0))</f>
        <v>1</v>
      </c>
      <c r="D47">
        <v>30.84</v>
      </c>
      <c r="E47" s="1">
        <f>INDEX(T_Avg_PPG,MATCH($A47,T_Names,0))</f>
        <v>15.42</v>
      </c>
      <c r="F47">
        <f>1+COUNTIFS(T_Total,"&gt;"&amp;D47,T_Pos,$B47)</f>
        <v>48</v>
      </c>
      <c r="G47">
        <f>1+COUNTIFS(T_Avg_PPG,"&gt;"&amp;E47,T_Pos,$B47)</f>
        <v>24</v>
      </c>
      <c r="H47">
        <f>_xlfn.IFNA(VLOOKUP($A47,PredictionTable,MATCH(H$1,Analysts,0),FALSE),60)</f>
        <v>60</v>
      </c>
      <c r="I47">
        <f>_xlfn.IFNA(VLOOKUP($A47,PredictionTable,MATCH(I$1,Analysts,0),FALSE),60)</f>
        <v>60</v>
      </c>
      <c r="J47">
        <f>_xlfn.IFNA(VLOOKUP($A47,PredictionTable,MATCH(J$1,Analysts,0),FALSE),60)</f>
        <v>60</v>
      </c>
      <c r="K47">
        <f>_xlfn.IFNA(VLOOKUP($A47,PredictionTable,MATCH(K$1,Analysts,0),FALSE),60)</f>
        <v>60</v>
      </c>
      <c r="L47">
        <f>_xlfn.IFNA(VLOOKUP($A47,PredictionTable,MATCH(L$1,Analysts,0),FALSE),60)</f>
        <v>60</v>
      </c>
      <c r="M47">
        <f>_xlfn.IFNA(VLOOKUP($A47,PredictionTable,MATCH(M$1,Analysts,0),FALSE),60)</f>
        <v>60</v>
      </c>
      <c r="N47">
        <f>_xlfn.IFNA(VLOOKUP($A47,PredictionTable,MATCH(N$1,Analysts,0),FALSE),60)</f>
        <v>60</v>
      </c>
      <c r="O47">
        <f>_xlfn.IFNA(VLOOKUP($A47,PredictionTable,MATCH(O$1,Analysts,0),FALSE),60)</f>
        <v>60</v>
      </c>
      <c r="P47">
        <f>_xlfn.IFNA(VLOOKUP($A47,PredictionTable,MATCH(P$1,Analysts,0),FALSE),60)</f>
        <v>60</v>
      </c>
      <c r="V47" s="7" t="s">
        <v>589</v>
      </c>
    </row>
    <row r="48" spans="1:22" x14ac:dyDescent="0.45">
      <c r="A48" s="1" t="s">
        <v>51</v>
      </c>
      <c r="B48" s="1" t="s">
        <v>5</v>
      </c>
      <c r="C48" s="1">
        <f>INDEX(T_Performances,MATCH($A48,T_Names,0))</f>
        <v>1</v>
      </c>
      <c r="D48">
        <v>28.82</v>
      </c>
      <c r="E48" s="1">
        <f>INDEX(T_Avg_PPG,MATCH($A48,T_Names,0))</f>
        <v>14.41</v>
      </c>
      <c r="F48">
        <f>1+COUNTIFS(T_Total,"&gt;"&amp;D48,T_Pos,$B48)</f>
        <v>49</v>
      </c>
      <c r="G48">
        <f>1+COUNTIFS(T_Avg_PPG,"&gt;"&amp;E48,T_Pos,$B48)</f>
        <v>34</v>
      </c>
      <c r="H48">
        <f>_xlfn.IFNA(VLOOKUP($A48,PredictionTable,MATCH(H$1,Analysts,0),FALSE),60)</f>
        <v>60</v>
      </c>
      <c r="I48">
        <f>_xlfn.IFNA(VLOOKUP($A48,PredictionTable,MATCH(I$1,Analysts,0),FALSE),60)</f>
        <v>60</v>
      </c>
      <c r="J48">
        <f>_xlfn.IFNA(VLOOKUP($A48,PredictionTable,MATCH(J$1,Analysts,0),FALSE),60)</f>
        <v>60</v>
      </c>
      <c r="K48">
        <f>_xlfn.IFNA(VLOOKUP($A48,PredictionTable,MATCH(K$1,Analysts,0),FALSE),60)</f>
        <v>60</v>
      </c>
      <c r="L48">
        <f>_xlfn.IFNA(VLOOKUP($A48,PredictionTable,MATCH(L$1,Analysts,0),FALSE),60)</f>
        <v>60</v>
      </c>
      <c r="M48">
        <f>_xlfn.IFNA(VLOOKUP($A48,PredictionTable,MATCH(M$1,Analysts,0),FALSE),60)</f>
        <v>60</v>
      </c>
      <c r="N48">
        <f>_xlfn.IFNA(VLOOKUP($A48,PredictionTable,MATCH(N$1,Analysts,0),FALSE),60)</f>
        <v>60</v>
      </c>
      <c r="O48">
        <f>_xlfn.IFNA(VLOOKUP($A48,PredictionTable,MATCH(O$1,Analysts,0),FALSE),60)</f>
        <v>60</v>
      </c>
      <c r="P48">
        <f>_xlfn.IFNA(VLOOKUP($A48,PredictionTable,MATCH(P$1,Analysts,0),FALSE),60)</f>
        <v>60</v>
      </c>
      <c r="V48" s="7" t="s">
        <v>589</v>
      </c>
    </row>
    <row r="49" spans="1:22" x14ac:dyDescent="0.45">
      <c r="A49" s="1" t="s">
        <v>52</v>
      </c>
      <c r="B49" s="1" t="s">
        <v>5</v>
      </c>
      <c r="C49" s="1">
        <f>INDEX(T_Performances,MATCH($A49,T_Names,0))</f>
        <v>0</v>
      </c>
      <c r="D49">
        <v>25.14</v>
      </c>
      <c r="E49" s="1">
        <f>INDEX(T_Avg_PPG,MATCH($A49,T_Names,0))</f>
        <v>12.57</v>
      </c>
      <c r="F49">
        <f>1+COUNTIFS(T_Total,"&gt;"&amp;D49,T_Pos,$B49)</f>
        <v>50</v>
      </c>
      <c r="G49">
        <f>1+COUNTIFS(T_Avg_PPG,"&gt;"&amp;E49,T_Pos,$B49)</f>
        <v>43</v>
      </c>
      <c r="H49">
        <f>_xlfn.IFNA(VLOOKUP($A49,PredictionTable,MATCH(H$1,Analysts,0),FALSE),60)</f>
        <v>60</v>
      </c>
      <c r="I49">
        <f>_xlfn.IFNA(VLOOKUP($A49,PredictionTable,MATCH(I$1,Analysts,0),FALSE),60)</f>
        <v>60</v>
      </c>
      <c r="J49">
        <f>_xlfn.IFNA(VLOOKUP($A49,PredictionTable,MATCH(J$1,Analysts,0),FALSE),60)</f>
        <v>60</v>
      </c>
      <c r="K49">
        <f>_xlfn.IFNA(VLOOKUP($A49,PredictionTable,MATCH(K$1,Analysts,0),FALSE),60)</f>
        <v>60</v>
      </c>
      <c r="L49">
        <f>_xlfn.IFNA(VLOOKUP($A49,PredictionTable,MATCH(L$1,Analysts,0),FALSE),60)</f>
        <v>60</v>
      </c>
      <c r="M49">
        <f>_xlfn.IFNA(VLOOKUP($A49,PredictionTable,MATCH(M$1,Analysts,0),FALSE),60)</f>
        <v>60</v>
      </c>
      <c r="N49">
        <f>_xlfn.IFNA(VLOOKUP($A49,PredictionTable,MATCH(N$1,Analysts,0),FALSE),60)</f>
        <v>60</v>
      </c>
      <c r="O49">
        <f>_xlfn.IFNA(VLOOKUP($A49,PredictionTable,MATCH(O$1,Analysts,0),FALSE),60)</f>
        <v>60</v>
      </c>
      <c r="P49">
        <f>_xlfn.IFNA(VLOOKUP($A49,PredictionTable,MATCH(P$1,Analysts,0),FALSE),60)</f>
        <v>60</v>
      </c>
      <c r="V49" s="7" t="s">
        <v>589</v>
      </c>
    </row>
    <row r="50" spans="1:22" x14ac:dyDescent="0.45">
      <c r="A50" s="1" t="s">
        <v>53</v>
      </c>
      <c r="B50" s="1" t="s">
        <v>5</v>
      </c>
      <c r="C50" s="1">
        <f>INDEX(T_Performances,MATCH($A50,T_Names,0))</f>
        <v>1</v>
      </c>
      <c r="D50">
        <v>19.86</v>
      </c>
      <c r="E50" s="1">
        <f>INDEX(T_Avg_PPG,MATCH($A50,T_Names,0))</f>
        <v>19.86</v>
      </c>
      <c r="F50">
        <f>1+COUNTIFS(T_Total,"&gt;"&amp;D50,T_Pos,$B50)</f>
        <v>53</v>
      </c>
      <c r="G50">
        <f>1+COUNTIFS(T_Avg_PPG,"&gt;"&amp;E50,T_Pos,$B50)</f>
        <v>8</v>
      </c>
      <c r="H50">
        <f>_xlfn.IFNA(VLOOKUP($A50,PredictionTable,MATCH(H$1,Analysts,0),FALSE),60)</f>
        <v>60</v>
      </c>
      <c r="I50">
        <f>_xlfn.IFNA(VLOOKUP($A50,PredictionTable,MATCH(I$1,Analysts,0),FALSE),60)</f>
        <v>60</v>
      </c>
      <c r="J50">
        <f>_xlfn.IFNA(VLOOKUP($A50,PredictionTable,MATCH(J$1,Analysts,0),FALSE),60)</f>
        <v>60</v>
      </c>
      <c r="K50">
        <f>_xlfn.IFNA(VLOOKUP($A50,PredictionTable,MATCH(K$1,Analysts,0),FALSE),60)</f>
        <v>60</v>
      </c>
      <c r="L50">
        <f>_xlfn.IFNA(VLOOKUP($A50,PredictionTable,MATCH(L$1,Analysts,0),FALSE),60)</f>
        <v>60</v>
      </c>
      <c r="M50">
        <f>_xlfn.IFNA(VLOOKUP($A50,PredictionTable,MATCH(M$1,Analysts,0),FALSE),60)</f>
        <v>60</v>
      </c>
      <c r="N50">
        <f>_xlfn.IFNA(VLOOKUP($A50,PredictionTable,MATCH(N$1,Analysts,0),FALSE),60)</f>
        <v>60</v>
      </c>
      <c r="O50">
        <f>_xlfn.IFNA(VLOOKUP($A50,PredictionTable,MATCH(O$1,Analysts,0),FALSE),60)</f>
        <v>60</v>
      </c>
      <c r="P50">
        <f>_xlfn.IFNA(VLOOKUP($A50,PredictionTable,MATCH(P$1,Analysts,0),FALSE),60)</f>
        <v>60</v>
      </c>
      <c r="V50" s="7" t="s">
        <v>589</v>
      </c>
    </row>
    <row r="51" spans="1:22" x14ac:dyDescent="0.45">
      <c r="A51" s="1" t="s">
        <v>54</v>
      </c>
      <c r="B51" s="1" t="s">
        <v>5</v>
      </c>
      <c r="C51" s="1">
        <f>INDEX(T_Performances,MATCH($A51,T_Names,0))</f>
        <v>1</v>
      </c>
      <c r="D51">
        <v>19.239999999999998</v>
      </c>
      <c r="E51" s="1">
        <f>INDEX(T_Avg_PPG,MATCH($A51,T_Names,0))</f>
        <v>19.239999999999998</v>
      </c>
      <c r="F51">
        <f>1+COUNTIFS(T_Total,"&gt;"&amp;D51,T_Pos,$B51)</f>
        <v>54</v>
      </c>
      <c r="G51">
        <f>1+COUNTIFS(T_Avg_PPG,"&gt;"&amp;E51,T_Pos,$B51)</f>
        <v>9</v>
      </c>
      <c r="H51">
        <f>_xlfn.IFNA(VLOOKUP($A51,PredictionTable,MATCH(H$1,Analysts,0),FALSE),60)</f>
        <v>60</v>
      </c>
      <c r="I51">
        <f>_xlfn.IFNA(VLOOKUP($A51,PredictionTable,MATCH(I$1,Analysts,0),FALSE),60)</f>
        <v>60</v>
      </c>
      <c r="J51">
        <f>_xlfn.IFNA(VLOOKUP($A51,PredictionTable,MATCH(J$1,Analysts,0),FALSE),60)</f>
        <v>60</v>
      </c>
      <c r="K51">
        <f>_xlfn.IFNA(VLOOKUP($A51,PredictionTable,MATCH(K$1,Analysts,0),FALSE),60)</f>
        <v>60</v>
      </c>
      <c r="L51">
        <f>_xlfn.IFNA(VLOOKUP($A51,PredictionTable,MATCH(L$1,Analysts,0),FALSE),60)</f>
        <v>60</v>
      </c>
      <c r="M51">
        <f>_xlfn.IFNA(VLOOKUP($A51,PredictionTable,MATCH(M$1,Analysts,0),FALSE),60)</f>
        <v>60</v>
      </c>
      <c r="N51">
        <f>_xlfn.IFNA(VLOOKUP($A51,PredictionTable,MATCH(N$1,Analysts,0),FALSE),60)</f>
        <v>60</v>
      </c>
      <c r="O51">
        <f>_xlfn.IFNA(VLOOKUP($A51,PredictionTable,MATCH(O$1,Analysts,0),FALSE),60)</f>
        <v>60</v>
      </c>
      <c r="P51">
        <f>_xlfn.IFNA(VLOOKUP($A51,PredictionTable,MATCH(P$1,Analysts,0),FALSE),60)</f>
        <v>60</v>
      </c>
      <c r="V51" s="7" t="s">
        <v>589</v>
      </c>
    </row>
    <row r="52" spans="1:22" x14ac:dyDescent="0.45">
      <c r="A52" s="1" t="s">
        <v>55</v>
      </c>
      <c r="B52" s="1" t="s">
        <v>5</v>
      </c>
      <c r="C52" s="1">
        <f>INDEX(T_Performances,MATCH($A52,T_Names,0))</f>
        <v>0</v>
      </c>
      <c r="D52">
        <v>67.28</v>
      </c>
      <c r="E52" s="1">
        <f>INDEX(T_Avg_PPG,MATCH($A52,T_Names,0))</f>
        <v>9.6114285714285721</v>
      </c>
      <c r="F52">
        <f>1+COUNTIFS(T_Total,"&gt;"&amp;D52,T_Pos,$B52)</f>
        <v>41</v>
      </c>
      <c r="G52">
        <f>1+COUNTIFS(T_Avg_PPG,"&gt;"&amp;E52,T_Pos,$B52)</f>
        <v>53</v>
      </c>
      <c r="H52">
        <f>_xlfn.IFNA(VLOOKUP($A52,PredictionTable,MATCH(H$1,Analysts,0),FALSE),60)</f>
        <v>60</v>
      </c>
      <c r="I52">
        <f>_xlfn.IFNA(VLOOKUP($A52,PredictionTable,MATCH(I$1,Analysts,0),FALSE),60)</f>
        <v>60</v>
      </c>
      <c r="J52">
        <f>_xlfn.IFNA(VLOOKUP($A52,PredictionTable,MATCH(J$1,Analysts,0),FALSE),60)</f>
        <v>60</v>
      </c>
      <c r="K52">
        <f>_xlfn.IFNA(VLOOKUP($A52,PredictionTable,MATCH(K$1,Analysts,0),FALSE),60)</f>
        <v>60</v>
      </c>
      <c r="L52">
        <f>_xlfn.IFNA(VLOOKUP($A52,PredictionTable,MATCH(L$1,Analysts,0),FALSE),60)</f>
        <v>60</v>
      </c>
      <c r="M52">
        <f>_xlfn.IFNA(VLOOKUP($A52,PredictionTable,MATCH(M$1,Analysts,0),FALSE),60)</f>
        <v>60</v>
      </c>
      <c r="N52">
        <f>_xlfn.IFNA(VLOOKUP($A52,PredictionTable,MATCH(N$1,Analysts,0),FALSE),60)</f>
        <v>60</v>
      </c>
      <c r="O52">
        <f>_xlfn.IFNA(VLOOKUP($A52,PredictionTable,MATCH(O$1,Analysts,0),FALSE),60)</f>
        <v>60</v>
      </c>
      <c r="P52">
        <f>_xlfn.IFNA(VLOOKUP($A52,PredictionTable,MATCH(P$1,Analysts,0),FALSE),60)</f>
        <v>60</v>
      </c>
      <c r="V52" s="7" t="s">
        <v>589</v>
      </c>
    </row>
    <row r="53" spans="1:22" x14ac:dyDescent="0.45">
      <c r="A53" s="1" t="s">
        <v>56</v>
      </c>
      <c r="B53" s="1" t="s">
        <v>5</v>
      </c>
      <c r="C53" s="1">
        <f>INDEX(T_Performances,MATCH($A53,T_Names,0))</f>
        <v>0</v>
      </c>
      <c r="D53">
        <v>45.24</v>
      </c>
      <c r="E53" s="1">
        <f>INDEX(T_Avg_PPG,MATCH($A53,T_Names,0))</f>
        <v>7.54</v>
      </c>
      <c r="F53">
        <f>1+COUNTIFS(T_Total,"&gt;"&amp;D53,T_Pos,$B53)</f>
        <v>46</v>
      </c>
      <c r="G53">
        <f>1+COUNTIFS(T_Avg_PPG,"&gt;"&amp;E53,T_Pos,$B53)</f>
        <v>55</v>
      </c>
      <c r="H53">
        <f>_xlfn.IFNA(VLOOKUP($A53,PredictionTable,MATCH(H$1,Analysts,0),FALSE),60)</f>
        <v>60</v>
      </c>
      <c r="I53">
        <f>_xlfn.IFNA(VLOOKUP($A53,PredictionTable,MATCH(I$1,Analysts,0),FALSE),60)</f>
        <v>60</v>
      </c>
      <c r="J53">
        <f>_xlfn.IFNA(VLOOKUP($A53,PredictionTable,MATCH(J$1,Analysts,0),FALSE),60)</f>
        <v>60</v>
      </c>
      <c r="K53">
        <f>_xlfn.IFNA(VLOOKUP($A53,PredictionTable,MATCH(K$1,Analysts,0),FALSE),60)</f>
        <v>60</v>
      </c>
      <c r="L53">
        <f>_xlfn.IFNA(VLOOKUP($A53,PredictionTable,MATCH(L$1,Analysts,0),FALSE),60)</f>
        <v>60</v>
      </c>
      <c r="M53">
        <f>_xlfn.IFNA(VLOOKUP($A53,PredictionTable,MATCH(M$1,Analysts,0),FALSE),60)</f>
        <v>60</v>
      </c>
      <c r="N53">
        <f>_xlfn.IFNA(VLOOKUP($A53,PredictionTable,MATCH(N$1,Analysts,0),FALSE),60)</f>
        <v>60</v>
      </c>
      <c r="O53">
        <f>_xlfn.IFNA(VLOOKUP($A53,PredictionTable,MATCH(O$1,Analysts,0),FALSE),60)</f>
        <v>60</v>
      </c>
      <c r="P53">
        <f>_xlfn.IFNA(VLOOKUP($A53,PredictionTable,MATCH(P$1,Analysts,0),FALSE),60)</f>
        <v>60</v>
      </c>
      <c r="V53" s="7" t="s">
        <v>589</v>
      </c>
    </row>
    <row r="54" spans="1:22" x14ac:dyDescent="0.45">
      <c r="A54" s="1" t="s">
        <v>57</v>
      </c>
      <c r="B54" s="1" t="s">
        <v>5</v>
      </c>
      <c r="C54" s="1">
        <f>INDEX(T_Performances,MATCH($A54,T_Names,0))</f>
        <v>0</v>
      </c>
      <c r="D54">
        <v>21.92</v>
      </c>
      <c r="E54" s="1">
        <f>INDEX(T_Avg_PPG,MATCH($A54,T_Names,0))</f>
        <v>7.3066666666666675</v>
      </c>
      <c r="F54">
        <f>1+COUNTIFS(T_Total,"&gt;"&amp;D54,T_Pos,$B54)</f>
        <v>51</v>
      </c>
      <c r="G54">
        <f>1+COUNTIFS(T_Avg_PPG,"&gt;"&amp;E54,T_Pos,$B54)</f>
        <v>56</v>
      </c>
      <c r="H54">
        <f>_xlfn.IFNA(VLOOKUP($A54,PredictionTable,MATCH(H$1,Analysts,0),FALSE),60)</f>
        <v>60</v>
      </c>
      <c r="I54">
        <f>_xlfn.IFNA(VLOOKUP($A54,PredictionTable,MATCH(I$1,Analysts,0),FALSE),60)</f>
        <v>60</v>
      </c>
      <c r="J54">
        <f>_xlfn.IFNA(VLOOKUP($A54,PredictionTable,MATCH(J$1,Analysts,0),FALSE),60)</f>
        <v>60</v>
      </c>
      <c r="K54">
        <f>_xlfn.IFNA(VLOOKUP($A54,PredictionTable,MATCH(K$1,Analysts,0),FALSE),60)</f>
        <v>60</v>
      </c>
      <c r="L54">
        <f>_xlfn.IFNA(VLOOKUP($A54,PredictionTable,MATCH(L$1,Analysts,0),FALSE),60)</f>
        <v>60</v>
      </c>
      <c r="M54">
        <f>_xlfn.IFNA(VLOOKUP($A54,PredictionTable,MATCH(M$1,Analysts,0),FALSE),60)</f>
        <v>60</v>
      </c>
      <c r="N54">
        <f>_xlfn.IFNA(VLOOKUP($A54,PredictionTable,MATCH(N$1,Analysts,0),FALSE),60)</f>
        <v>60</v>
      </c>
      <c r="O54">
        <f>_xlfn.IFNA(VLOOKUP($A54,PredictionTable,MATCH(O$1,Analysts,0),FALSE),60)</f>
        <v>60</v>
      </c>
      <c r="P54">
        <f>_xlfn.IFNA(VLOOKUP($A54,PredictionTable,MATCH(P$1,Analysts,0),FALSE),60)</f>
        <v>60</v>
      </c>
      <c r="V54" s="7" t="s">
        <v>589</v>
      </c>
    </row>
    <row r="55" spans="1:22" x14ac:dyDescent="0.45">
      <c r="A55" s="1" t="s">
        <v>58</v>
      </c>
      <c r="B55" s="1" t="s">
        <v>5</v>
      </c>
      <c r="C55" s="1">
        <f>INDEX(T_Performances,MATCH($A55,T_Names,0))</f>
        <v>0</v>
      </c>
      <c r="D55">
        <v>20.059999999999999</v>
      </c>
      <c r="E55" s="1">
        <f>INDEX(T_Avg_PPG,MATCH($A55,T_Names,0))</f>
        <v>10.029999999999999</v>
      </c>
      <c r="F55">
        <f>1+COUNTIFS(T_Total,"&gt;"&amp;D55,T_Pos,$B55)</f>
        <v>52</v>
      </c>
      <c r="G55">
        <f>1+COUNTIFS(T_Avg_PPG,"&gt;"&amp;E55,T_Pos,$B55)</f>
        <v>52</v>
      </c>
      <c r="H55">
        <f>_xlfn.IFNA(VLOOKUP($A55,PredictionTable,MATCH(H$1,Analysts,0),FALSE),60)</f>
        <v>60</v>
      </c>
      <c r="I55">
        <f>_xlfn.IFNA(VLOOKUP($A55,PredictionTable,MATCH(I$1,Analysts,0),FALSE),60)</f>
        <v>60</v>
      </c>
      <c r="J55">
        <f>_xlfn.IFNA(VLOOKUP($A55,PredictionTable,MATCH(J$1,Analysts,0),FALSE),60)</f>
        <v>60</v>
      </c>
      <c r="K55">
        <f>_xlfn.IFNA(VLOOKUP($A55,PredictionTable,MATCH(K$1,Analysts,0),FALSE),60)</f>
        <v>60</v>
      </c>
      <c r="L55">
        <f>_xlfn.IFNA(VLOOKUP($A55,PredictionTable,MATCH(L$1,Analysts,0),FALSE),60)</f>
        <v>60</v>
      </c>
      <c r="M55">
        <f>_xlfn.IFNA(VLOOKUP($A55,PredictionTable,MATCH(M$1,Analysts,0),FALSE),60)</f>
        <v>60</v>
      </c>
      <c r="N55">
        <f>_xlfn.IFNA(VLOOKUP($A55,PredictionTable,MATCH(N$1,Analysts,0),FALSE),60)</f>
        <v>60</v>
      </c>
      <c r="O55">
        <f>_xlfn.IFNA(VLOOKUP($A55,PredictionTable,MATCH(O$1,Analysts,0),FALSE),60)</f>
        <v>60</v>
      </c>
      <c r="P55">
        <f>_xlfn.IFNA(VLOOKUP($A55,PredictionTable,MATCH(P$1,Analysts,0),FALSE),60)</f>
        <v>60</v>
      </c>
      <c r="V55" s="7" t="s">
        <v>589</v>
      </c>
    </row>
    <row r="56" spans="1:22" x14ac:dyDescent="0.45">
      <c r="A56" s="1" t="s">
        <v>59</v>
      </c>
      <c r="B56" s="1" t="s">
        <v>5</v>
      </c>
      <c r="C56" s="1">
        <f>INDEX(T_Performances,MATCH($A56,T_Names,0))</f>
        <v>0</v>
      </c>
      <c r="D56">
        <v>15.8</v>
      </c>
      <c r="E56" s="1">
        <f>INDEX(T_Avg_PPG,MATCH($A56,T_Names,0))</f>
        <v>5.2666666666666666</v>
      </c>
      <c r="F56">
        <f>1+COUNTIFS(T_Total,"&gt;"&amp;D56,T_Pos,$B56)</f>
        <v>55</v>
      </c>
      <c r="G56">
        <f>1+COUNTIFS(T_Avg_PPG,"&gt;"&amp;E56,T_Pos,$B56)</f>
        <v>60</v>
      </c>
      <c r="H56">
        <f>_xlfn.IFNA(VLOOKUP($A56,PredictionTable,MATCH(H$1,Analysts,0),FALSE),60)</f>
        <v>60</v>
      </c>
      <c r="I56">
        <f>_xlfn.IFNA(VLOOKUP($A56,PredictionTable,MATCH(I$1,Analysts,0),FALSE),60)</f>
        <v>60</v>
      </c>
      <c r="J56">
        <f>_xlfn.IFNA(VLOOKUP($A56,PredictionTable,MATCH(J$1,Analysts,0),FALSE),60)</f>
        <v>60</v>
      </c>
      <c r="K56">
        <f>_xlfn.IFNA(VLOOKUP($A56,PredictionTable,MATCH(K$1,Analysts,0),FALSE),60)</f>
        <v>60</v>
      </c>
      <c r="L56">
        <f>_xlfn.IFNA(VLOOKUP($A56,PredictionTable,MATCH(L$1,Analysts,0),FALSE),60)</f>
        <v>60</v>
      </c>
      <c r="M56">
        <f>_xlfn.IFNA(VLOOKUP($A56,PredictionTable,MATCH(M$1,Analysts,0),FALSE),60)</f>
        <v>60</v>
      </c>
      <c r="N56">
        <f>_xlfn.IFNA(VLOOKUP($A56,PredictionTable,MATCH(N$1,Analysts,0),FALSE),60)</f>
        <v>60</v>
      </c>
      <c r="O56">
        <f>_xlfn.IFNA(VLOOKUP($A56,PredictionTable,MATCH(O$1,Analysts,0),FALSE),60)</f>
        <v>60</v>
      </c>
      <c r="P56">
        <f>_xlfn.IFNA(VLOOKUP($A56,PredictionTable,MATCH(P$1,Analysts,0),FALSE),60)</f>
        <v>60</v>
      </c>
      <c r="V56" s="7" t="s">
        <v>589</v>
      </c>
    </row>
    <row r="57" spans="1:22" x14ac:dyDescent="0.45">
      <c r="A57" s="1" t="s">
        <v>60</v>
      </c>
      <c r="B57" s="1" t="s">
        <v>5</v>
      </c>
      <c r="C57" s="1">
        <f>INDEX(T_Performances,MATCH($A57,T_Names,0))</f>
        <v>0</v>
      </c>
      <c r="D57">
        <v>15.26</v>
      </c>
      <c r="E57" s="1">
        <f>INDEX(T_Avg_PPG,MATCH($A57,T_Names,0))</f>
        <v>7.63</v>
      </c>
      <c r="F57">
        <f>1+COUNTIFS(T_Total,"&gt;"&amp;D57,T_Pos,$B57)</f>
        <v>56</v>
      </c>
      <c r="G57">
        <f>1+COUNTIFS(T_Avg_PPG,"&gt;"&amp;E57,T_Pos,$B57)</f>
        <v>54</v>
      </c>
      <c r="H57">
        <f>_xlfn.IFNA(VLOOKUP($A57,PredictionTable,MATCH(H$1,Analysts,0),FALSE),60)</f>
        <v>60</v>
      </c>
      <c r="I57">
        <f>_xlfn.IFNA(VLOOKUP($A57,PredictionTable,MATCH(I$1,Analysts,0),FALSE),60)</f>
        <v>60</v>
      </c>
      <c r="J57">
        <f>_xlfn.IFNA(VLOOKUP($A57,PredictionTable,MATCH(J$1,Analysts,0),FALSE),60)</f>
        <v>60</v>
      </c>
      <c r="K57">
        <f>_xlfn.IFNA(VLOOKUP($A57,PredictionTable,MATCH(K$1,Analysts,0),FALSE),60)</f>
        <v>60</v>
      </c>
      <c r="L57">
        <f>_xlfn.IFNA(VLOOKUP($A57,PredictionTable,MATCH(L$1,Analysts,0),FALSE),60)</f>
        <v>60</v>
      </c>
      <c r="M57">
        <f>_xlfn.IFNA(VLOOKUP($A57,PredictionTable,MATCH(M$1,Analysts,0),FALSE),60)</f>
        <v>60</v>
      </c>
      <c r="N57">
        <f>_xlfn.IFNA(VLOOKUP($A57,PredictionTable,MATCH(N$1,Analysts,0),FALSE),60)</f>
        <v>60</v>
      </c>
      <c r="O57">
        <f>_xlfn.IFNA(VLOOKUP($A57,PredictionTable,MATCH(O$1,Analysts,0),FALSE),60)</f>
        <v>60</v>
      </c>
      <c r="P57">
        <f>_xlfn.IFNA(VLOOKUP($A57,PredictionTable,MATCH(P$1,Analysts,0),FALSE),60)</f>
        <v>60</v>
      </c>
      <c r="V57" s="7" t="s">
        <v>589</v>
      </c>
    </row>
    <row r="58" spans="1:22" x14ac:dyDescent="0.45">
      <c r="A58" s="1" t="s">
        <v>61</v>
      </c>
      <c r="B58" s="1" t="s">
        <v>5</v>
      </c>
      <c r="C58" s="1">
        <f>INDEX(T_Performances,MATCH($A58,T_Names,0))</f>
        <v>0</v>
      </c>
      <c r="D58">
        <v>13.94</v>
      </c>
      <c r="E58" s="1">
        <f>INDEX(T_Avg_PPG,MATCH($A58,T_Names,0))</f>
        <v>4.6466666666666665</v>
      </c>
      <c r="F58">
        <f>1+COUNTIFS(T_Total,"&gt;"&amp;D58,T_Pos,$B58)</f>
        <v>57</v>
      </c>
      <c r="G58">
        <f>1+COUNTIFS(T_Avg_PPG,"&gt;"&amp;E58,T_Pos,$B58)</f>
        <v>63</v>
      </c>
      <c r="H58">
        <f>_xlfn.IFNA(VLOOKUP($A58,PredictionTable,MATCH(H$1,Analysts,0),FALSE),60)</f>
        <v>60</v>
      </c>
      <c r="I58">
        <f>_xlfn.IFNA(VLOOKUP($A58,PredictionTable,MATCH(I$1,Analysts,0),FALSE),60)</f>
        <v>60</v>
      </c>
      <c r="J58">
        <f>_xlfn.IFNA(VLOOKUP($A58,PredictionTable,MATCH(J$1,Analysts,0),FALSE),60)</f>
        <v>60</v>
      </c>
      <c r="K58">
        <f>_xlfn.IFNA(VLOOKUP($A58,PredictionTable,MATCH(K$1,Analysts,0),FALSE),60)</f>
        <v>60</v>
      </c>
      <c r="L58">
        <f>_xlfn.IFNA(VLOOKUP($A58,PredictionTable,MATCH(L$1,Analysts,0),FALSE),60)</f>
        <v>60</v>
      </c>
      <c r="M58">
        <f>_xlfn.IFNA(VLOOKUP($A58,PredictionTable,MATCH(M$1,Analysts,0),FALSE),60)</f>
        <v>60</v>
      </c>
      <c r="N58">
        <f>_xlfn.IFNA(VLOOKUP($A58,PredictionTable,MATCH(N$1,Analysts,0),FALSE),60)</f>
        <v>60</v>
      </c>
      <c r="O58">
        <f>_xlfn.IFNA(VLOOKUP($A58,PredictionTable,MATCH(O$1,Analysts,0),FALSE),60)</f>
        <v>60</v>
      </c>
      <c r="P58">
        <f>_xlfn.IFNA(VLOOKUP($A58,PredictionTable,MATCH(P$1,Analysts,0),FALSE),60)</f>
        <v>60</v>
      </c>
      <c r="V58" s="7" t="s">
        <v>589</v>
      </c>
    </row>
    <row r="59" spans="1:22" x14ac:dyDescent="0.45">
      <c r="A59" s="1" t="s">
        <v>62</v>
      </c>
      <c r="B59" s="1" t="s">
        <v>5</v>
      </c>
      <c r="C59" s="1">
        <f>INDEX(T_Performances,MATCH($A59,T_Names,0))</f>
        <v>0</v>
      </c>
      <c r="D59">
        <v>13.48</v>
      </c>
      <c r="E59" s="1">
        <f>INDEX(T_Avg_PPG,MATCH($A59,T_Names,0))</f>
        <v>6.74</v>
      </c>
      <c r="F59">
        <f>1+COUNTIFS(T_Total,"&gt;"&amp;D59,T_Pos,$B59)</f>
        <v>58</v>
      </c>
      <c r="G59">
        <f>1+COUNTIFS(T_Avg_PPG,"&gt;"&amp;E59,T_Pos,$B59)</f>
        <v>58</v>
      </c>
      <c r="H59">
        <f>_xlfn.IFNA(VLOOKUP($A59,PredictionTable,MATCH(H$1,Analysts,0),FALSE),60)</f>
        <v>60</v>
      </c>
      <c r="I59">
        <f>_xlfn.IFNA(VLOOKUP($A59,PredictionTable,MATCH(I$1,Analysts,0),FALSE),60)</f>
        <v>60</v>
      </c>
      <c r="J59">
        <f>_xlfn.IFNA(VLOOKUP($A59,PredictionTable,MATCH(J$1,Analysts,0),FALSE),60)</f>
        <v>60</v>
      </c>
      <c r="K59">
        <f>_xlfn.IFNA(VLOOKUP($A59,PredictionTable,MATCH(K$1,Analysts,0),FALSE),60)</f>
        <v>60</v>
      </c>
      <c r="L59">
        <f>_xlfn.IFNA(VLOOKUP($A59,PredictionTable,MATCH(L$1,Analysts,0),FALSE),60)</f>
        <v>60</v>
      </c>
      <c r="M59">
        <f>_xlfn.IFNA(VLOOKUP($A59,PredictionTable,MATCH(M$1,Analysts,0),FALSE),60)</f>
        <v>60</v>
      </c>
      <c r="N59">
        <f>_xlfn.IFNA(VLOOKUP($A59,PredictionTable,MATCH(N$1,Analysts,0),FALSE),60)</f>
        <v>60</v>
      </c>
      <c r="O59">
        <f>_xlfn.IFNA(VLOOKUP($A59,PredictionTable,MATCH(O$1,Analysts,0),FALSE),60)</f>
        <v>60</v>
      </c>
      <c r="P59">
        <f>_xlfn.IFNA(VLOOKUP($A59,PredictionTable,MATCH(P$1,Analysts,0),FALSE),60)</f>
        <v>60</v>
      </c>
      <c r="V59" s="7" t="s">
        <v>589</v>
      </c>
    </row>
    <row r="60" spans="1:22" x14ac:dyDescent="0.45">
      <c r="A60" s="1" t="s">
        <v>63</v>
      </c>
      <c r="B60" s="1" t="s">
        <v>5</v>
      </c>
      <c r="C60" s="1">
        <f>INDEX(T_Performances,MATCH($A60,T_Names,0))</f>
        <v>0</v>
      </c>
      <c r="D60">
        <v>13.24</v>
      </c>
      <c r="E60" s="1">
        <f>INDEX(T_Avg_PPG,MATCH($A60,T_Names,0))</f>
        <v>4.4133333333333331</v>
      </c>
      <c r="F60">
        <f>1+COUNTIFS(T_Total,"&gt;"&amp;D60,T_Pos,$B60)</f>
        <v>59</v>
      </c>
      <c r="G60">
        <f>1+COUNTIFS(T_Avg_PPG,"&gt;"&amp;E60,T_Pos,$B60)</f>
        <v>64</v>
      </c>
      <c r="H60">
        <f>_xlfn.IFNA(VLOOKUP($A60,PredictionTable,MATCH(H$1,Analysts,0),FALSE),60)</f>
        <v>60</v>
      </c>
      <c r="I60">
        <f>_xlfn.IFNA(VLOOKUP($A60,PredictionTable,MATCH(I$1,Analysts,0),FALSE),60)</f>
        <v>60</v>
      </c>
      <c r="J60">
        <f>_xlfn.IFNA(VLOOKUP($A60,PredictionTable,MATCH(J$1,Analysts,0),FALSE),60)</f>
        <v>60</v>
      </c>
      <c r="K60">
        <f>_xlfn.IFNA(VLOOKUP($A60,PredictionTable,MATCH(K$1,Analysts,0),FALSE),60)</f>
        <v>60</v>
      </c>
      <c r="L60">
        <f>_xlfn.IFNA(VLOOKUP($A60,PredictionTable,MATCH(L$1,Analysts,0),FALSE),60)</f>
        <v>60</v>
      </c>
      <c r="M60">
        <f>_xlfn.IFNA(VLOOKUP($A60,PredictionTable,MATCH(M$1,Analysts,0),FALSE),60)</f>
        <v>60</v>
      </c>
      <c r="N60">
        <f>_xlfn.IFNA(VLOOKUP($A60,PredictionTable,MATCH(N$1,Analysts,0),FALSE),60)</f>
        <v>60</v>
      </c>
      <c r="O60">
        <f>_xlfn.IFNA(VLOOKUP($A60,PredictionTable,MATCH(O$1,Analysts,0),FALSE),60)</f>
        <v>60</v>
      </c>
      <c r="P60">
        <f>_xlfn.IFNA(VLOOKUP($A60,PredictionTable,MATCH(P$1,Analysts,0),FALSE),60)</f>
        <v>60</v>
      </c>
      <c r="V60" s="7" t="s">
        <v>589</v>
      </c>
    </row>
    <row r="61" spans="1:22" x14ac:dyDescent="0.45">
      <c r="A61" s="1" t="s">
        <v>64</v>
      </c>
      <c r="B61" s="1" t="s">
        <v>5</v>
      </c>
      <c r="C61" s="1">
        <f>INDEX(T_Performances,MATCH($A61,T_Names,0))</f>
        <v>0</v>
      </c>
      <c r="D61">
        <v>12.74</v>
      </c>
      <c r="E61" s="1">
        <f>INDEX(T_Avg_PPG,MATCH($A61,T_Names,0))</f>
        <v>12.74</v>
      </c>
      <c r="F61">
        <f>1+COUNTIFS(T_Total,"&gt;"&amp;D61,T_Pos,$B61)</f>
        <v>60</v>
      </c>
      <c r="G61">
        <f>1+COUNTIFS(T_Avg_PPG,"&gt;"&amp;E61,T_Pos,$B61)</f>
        <v>41</v>
      </c>
      <c r="H61">
        <f>_xlfn.IFNA(VLOOKUP($A61,PredictionTable,MATCH(H$1,Analysts,0),FALSE),60)</f>
        <v>60</v>
      </c>
      <c r="I61">
        <f>_xlfn.IFNA(VLOOKUP($A61,PredictionTable,MATCH(I$1,Analysts,0),FALSE),60)</f>
        <v>60</v>
      </c>
      <c r="J61">
        <f>_xlfn.IFNA(VLOOKUP($A61,PredictionTable,MATCH(J$1,Analysts,0),FALSE),60)</f>
        <v>60</v>
      </c>
      <c r="K61">
        <f>_xlfn.IFNA(VLOOKUP($A61,PredictionTable,MATCH(K$1,Analysts,0),FALSE),60)</f>
        <v>60</v>
      </c>
      <c r="L61">
        <f>_xlfn.IFNA(VLOOKUP($A61,PredictionTable,MATCH(L$1,Analysts,0),FALSE),60)</f>
        <v>60</v>
      </c>
      <c r="M61">
        <f>_xlfn.IFNA(VLOOKUP($A61,PredictionTable,MATCH(M$1,Analysts,0),FALSE),60)</f>
        <v>60</v>
      </c>
      <c r="N61">
        <f>_xlfn.IFNA(VLOOKUP($A61,PredictionTable,MATCH(N$1,Analysts,0),FALSE),60)</f>
        <v>60</v>
      </c>
      <c r="O61">
        <f>_xlfn.IFNA(VLOOKUP($A61,PredictionTable,MATCH(O$1,Analysts,0),FALSE),60)</f>
        <v>60</v>
      </c>
      <c r="P61">
        <f>_xlfn.IFNA(VLOOKUP($A61,PredictionTable,MATCH(P$1,Analysts,0),FALSE),60)</f>
        <v>60</v>
      </c>
      <c r="V61" s="7" t="s">
        <v>589</v>
      </c>
    </row>
    <row r="62" spans="1:22" x14ac:dyDescent="0.45">
      <c r="A62" s="1" t="s">
        <v>65</v>
      </c>
      <c r="B62" s="1" t="s">
        <v>5</v>
      </c>
      <c r="C62" s="1">
        <f>INDEX(T_Performances,MATCH($A62,T_Names,0))</f>
        <v>0</v>
      </c>
      <c r="D62">
        <v>9.58</v>
      </c>
      <c r="E62" s="1">
        <f>INDEX(T_Avg_PPG,MATCH($A62,T_Names,0))</f>
        <v>4.79</v>
      </c>
      <c r="F62">
        <f>1+COUNTIFS(T_Total,"&gt;"&amp;D62,T_Pos,$B62)</f>
        <v>61</v>
      </c>
      <c r="G62">
        <f>1+COUNTIFS(T_Avg_PPG,"&gt;"&amp;E62,T_Pos,$B62)</f>
        <v>61</v>
      </c>
      <c r="H62">
        <f>_xlfn.IFNA(VLOOKUP($A62,PredictionTable,MATCH(H$1,Analysts,0),FALSE),60)</f>
        <v>60</v>
      </c>
      <c r="I62">
        <f>_xlfn.IFNA(VLOOKUP($A62,PredictionTable,MATCH(I$1,Analysts,0),FALSE),60)</f>
        <v>60</v>
      </c>
      <c r="J62">
        <f>_xlfn.IFNA(VLOOKUP($A62,PredictionTable,MATCH(J$1,Analysts,0),FALSE),60)</f>
        <v>60</v>
      </c>
      <c r="K62">
        <f>_xlfn.IFNA(VLOOKUP($A62,PredictionTable,MATCH(K$1,Analysts,0),FALSE),60)</f>
        <v>60</v>
      </c>
      <c r="L62">
        <f>_xlfn.IFNA(VLOOKUP($A62,PredictionTable,MATCH(L$1,Analysts,0),FALSE),60)</f>
        <v>60</v>
      </c>
      <c r="M62">
        <f>_xlfn.IFNA(VLOOKUP($A62,PredictionTable,MATCH(M$1,Analysts,0),FALSE),60)</f>
        <v>60</v>
      </c>
      <c r="N62">
        <f>_xlfn.IFNA(VLOOKUP($A62,PredictionTable,MATCH(N$1,Analysts,0),FALSE),60)</f>
        <v>60</v>
      </c>
      <c r="O62">
        <f>_xlfn.IFNA(VLOOKUP($A62,PredictionTable,MATCH(O$1,Analysts,0),FALSE),60)</f>
        <v>60</v>
      </c>
      <c r="P62">
        <f>_xlfn.IFNA(VLOOKUP($A62,PredictionTable,MATCH(P$1,Analysts,0),FALSE),60)</f>
        <v>60</v>
      </c>
      <c r="V62" s="7" t="s">
        <v>589</v>
      </c>
    </row>
    <row r="63" spans="1:22" x14ac:dyDescent="0.45">
      <c r="A63" s="1" t="s">
        <v>66</v>
      </c>
      <c r="B63" s="1" t="s">
        <v>5</v>
      </c>
      <c r="C63" s="1">
        <f>INDEX(T_Performances,MATCH($A63,T_Names,0))</f>
        <v>0</v>
      </c>
      <c r="D63">
        <v>7.88</v>
      </c>
      <c r="E63" s="1">
        <f>INDEX(T_Avg_PPG,MATCH($A63,T_Names,0))</f>
        <v>3.94</v>
      </c>
      <c r="F63">
        <f>1+COUNTIFS(T_Total,"&gt;"&amp;D63,T_Pos,$B63)</f>
        <v>62</v>
      </c>
      <c r="G63">
        <f>1+COUNTIFS(T_Avg_PPG,"&gt;"&amp;E63,T_Pos,$B63)</f>
        <v>65</v>
      </c>
      <c r="H63">
        <f>_xlfn.IFNA(VLOOKUP($A63,PredictionTable,MATCH(H$1,Analysts,0),FALSE),60)</f>
        <v>60</v>
      </c>
      <c r="I63">
        <f>_xlfn.IFNA(VLOOKUP($A63,PredictionTable,MATCH(I$1,Analysts,0),FALSE),60)</f>
        <v>60</v>
      </c>
      <c r="J63">
        <f>_xlfn.IFNA(VLOOKUP($A63,PredictionTable,MATCH(J$1,Analysts,0),FALSE),60)</f>
        <v>60</v>
      </c>
      <c r="K63">
        <f>_xlfn.IFNA(VLOOKUP($A63,PredictionTable,MATCH(K$1,Analysts,0),FALSE),60)</f>
        <v>60</v>
      </c>
      <c r="L63">
        <f>_xlfn.IFNA(VLOOKUP($A63,PredictionTable,MATCH(L$1,Analysts,0),FALSE),60)</f>
        <v>60</v>
      </c>
      <c r="M63">
        <f>_xlfn.IFNA(VLOOKUP($A63,PredictionTable,MATCH(M$1,Analysts,0),FALSE),60)</f>
        <v>60</v>
      </c>
      <c r="N63">
        <f>_xlfn.IFNA(VLOOKUP($A63,PredictionTable,MATCH(N$1,Analysts,0),FALSE),60)</f>
        <v>60</v>
      </c>
      <c r="O63">
        <f>_xlfn.IFNA(VLOOKUP($A63,PredictionTable,MATCH(O$1,Analysts,0),FALSE),60)</f>
        <v>60</v>
      </c>
      <c r="P63">
        <f>_xlfn.IFNA(VLOOKUP($A63,PredictionTable,MATCH(P$1,Analysts,0),FALSE),60)</f>
        <v>60</v>
      </c>
      <c r="V63" s="7" t="s">
        <v>589</v>
      </c>
    </row>
    <row r="64" spans="1:22" x14ac:dyDescent="0.45">
      <c r="A64" s="1" t="s">
        <v>67</v>
      </c>
      <c r="B64" s="1" t="s">
        <v>5</v>
      </c>
      <c r="C64" s="1">
        <f>INDEX(T_Performances,MATCH($A64,T_Names,0))</f>
        <v>0</v>
      </c>
      <c r="D64">
        <v>7</v>
      </c>
      <c r="E64" s="1">
        <f>INDEX(T_Avg_PPG,MATCH($A64,T_Names,0))</f>
        <v>7</v>
      </c>
      <c r="F64">
        <f>1+COUNTIFS(T_Total,"&gt;"&amp;D64,T_Pos,$B64)</f>
        <v>63</v>
      </c>
      <c r="G64">
        <f>1+COUNTIFS(T_Avg_PPG,"&gt;"&amp;E64,T_Pos,$B64)</f>
        <v>57</v>
      </c>
      <c r="H64">
        <f>_xlfn.IFNA(VLOOKUP($A64,PredictionTable,MATCH(H$1,Analysts,0),FALSE),60)</f>
        <v>60</v>
      </c>
      <c r="I64">
        <f>_xlfn.IFNA(VLOOKUP($A64,PredictionTable,MATCH(I$1,Analysts,0),FALSE),60)</f>
        <v>60</v>
      </c>
      <c r="J64">
        <f>_xlfn.IFNA(VLOOKUP($A64,PredictionTable,MATCH(J$1,Analysts,0),FALSE),60)</f>
        <v>60</v>
      </c>
      <c r="K64">
        <f>_xlfn.IFNA(VLOOKUP($A64,PredictionTable,MATCH(K$1,Analysts,0),FALSE),60)</f>
        <v>60</v>
      </c>
      <c r="L64">
        <f>_xlfn.IFNA(VLOOKUP($A64,PredictionTable,MATCH(L$1,Analysts,0),FALSE),60)</f>
        <v>60</v>
      </c>
      <c r="M64">
        <f>_xlfn.IFNA(VLOOKUP($A64,PredictionTable,MATCH(M$1,Analysts,0),FALSE),60)</f>
        <v>60</v>
      </c>
      <c r="N64">
        <f>_xlfn.IFNA(VLOOKUP($A64,PredictionTable,MATCH(N$1,Analysts,0),FALSE),60)</f>
        <v>60</v>
      </c>
      <c r="O64">
        <f>_xlfn.IFNA(VLOOKUP($A64,PredictionTable,MATCH(O$1,Analysts,0),FALSE),60)</f>
        <v>60</v>
      </c>
      <c r="P64">
        <f>_xlfn.IFNA(VLOOKUP($A64,PredictionTable,MATCH(P$1,Analysts,0),FALSE),60)</f>
        <v>60</v>
      </c>
      <c r="V64" s="7" t="s">
        <v>589</v>
      </c>
    </row>
    <row r="65" spans="1:22" x14ac:dyDescent="0.45">
      <c r="A65" s="1" t="s">
        <v>68</v>
      </c>
      <c r="B65" s="1" t="s">
        <v>5</v>
      </c>
      <c r="C65" s="1">
        <f>INDEX(T_Performances,MATCH($A65,T_Names,0))</f>
        <v>0</v>
      </c>
      <c r="D65">
        <v>6.36</v>
      </c>
      <c r="E65" s="1">
        <f>INDEX(T_Avg_PPG,MATCH($A65,T_Names,0))</f>
        <v>6.36</v>
      </c>
      <c r="F65">
        <f>1+COUNTIFS(T_Total,"&gt;"&amp;D65,T_Pos,$B65)</f>
        <v>64</v>
      </c>
      <c r="G65">
        <f>1+COUNTIFS(T_Avg_PPG,"&gt;"&amp;E65,T_Pos,$B65)</f>
        <v>59</v>
      </c>
      <c r="H65">
        <f>_xlfn.IFNA(VLOOKUP($A65,PredictionTable,MATCH(H$1,Analysts,0),FALSE),60)</f>
        <v>60</v>
      </c>
      <c r="I65">
        <f>_xlfn.IFNA(VLOOKUP($A65,PredictionTable,MATCH(I$1,Analysts,0),FALSE),60)</f>
        <v>60</v>
      </c>
      <c r="J65">
        <f>_xlfn.IFNA(VLOOKUP($A65,PredictionTable,MATCH(J$1,Analysts,0),FALSE),60)</f>
        <v>60</v>
      </c>
      <c r="K65">
        <f>_xlfn.IFNA(VLOOKUP($A65,PredictionTable,MATCH(K$1,Analysts,0),FALSE),60)</f>
        <v>60</v>
      </c>
      <c r="L65">
        <f>_xlfn.IFNA(VLOOKUP($A65,PredictionTable,MATCH(L$1,Analysts,0),FALSE),60)</f>
        <v>60</v>
      </c>
      <c r="M65">
        <f>_xlfn.IFNA(VLOOKUP($A65,PredictionTable,MATCH(M$1,Analysts,0),FALSE),60)</f>
        <v>60</v>
      </c>
      <c r="N65">
        <f>_xlfn.IFNA(VLOOKUP($A65,PredictionTable,MATCH(N$1,Analysts,0),FALSE),60)</f>
        <v>60</v>
      </c>
      <c r="O65">
        <f>_xlfn.IFNA(VLOOKUP($A65,PredictionTable,MATCH(O$1,Analysts,0),FALSE),60)</f>
        <v>60</v>
      </c>
      <c r="P65">
        <f>_xlfn.IFNA(VLOOKUP($A65,PredictionTable,MATCH(P$1,Analysts,0),FALSE),60)</f>
        <v>60</v>
      </c>
      <c r="V65" s="7" t="s">
        <v>589</v>
      </c>
    </row>
    <row r="66" spans="1:22" x14ac:dyDescent="0.45">
      <c r="A66" s="1" t="s">
        <v>69</v>
      </c>
      <c r="B66" s="1" t="s">
        <v>5</v>
      </c>
      <c r="C66" s="1">
        <f>INDEX(T_Performances,MATCH($A66,T_Names,0))</f>
        <v>0</v>
      </c>
      <c r="D66">
        <v>4.72</v>
      </c>
      <c r="E66" s="1">
        <f>INDEX(T_Avg_PPG,MATCH($A66,T_Names,0))</f>
        <v>4.72</v>
      </c>
      <c r="F66">
        <f>1+COUNTIFS(T_Total,"&gt;"&amp;D66,T_Pos,$B66)</f>
        <v>65</v>
      </c>
      <c r="G66">
        <f>1+COUNTIFS(T_Avg_PPG,"&gt;"&amp;E66,T_Pos,$B66)</f>
        <v>62</v>
      </c>
      <c r="H66">
        <f>_xlfn.IFNA(VLOOKUP($A66,PredictionTable,MATCH(H$1,Analysts,0),FALSE),60)</f>
        <v>60</v>
      </c>
      <c r="I66">
        <f>_xlfn.IFNA(VLOOKUP($A66,PredictionTable,MATCH(I$1,Analysts,0),FALSE),60)</f>
        <v>60</v>
      </c>
      <c r="J66">
        <f>_xlfn.IFNA(VLOOKUP($A66,PredictionTable,MATCH(J$1,Analysts,0),FALSE),60)</f>
        <v>60</v>
      </c>
      <c r="K66">
        <f>_xlfn.IFNA(VLOOKUP($A66,PredictionTable,MATCH(K$1,Analysts,0),FALSE),60)</f>
        <v>60</v>
      </c>
      <c r="L66">
        <f>_xlfn.IFNA(VLOOKUP($A66,PredictionTable,MATCH(L$1,Analysts,0),FALSE),60)</f>
        <v>60</v>
      </c>
      <c r="M66">
        <f>_xlfn.IFNA(VLOOKUP($A66,PredictionTable,MATCH(M$1,Analysts,0),FALSE),60)</f>
        <v>60</v>
      </c>
      <c r="N66">
        <f>_xlfn.IFNA(VLOOKUP($A66,PredictionTable,MATCH(N$1,Analysts,0),FALSE),60)</f>
        <v>60</v>
      </c>
      <c r="O66">
        <f>_xlfn.IFNA(VLOOKUP($A66,PredictionTable,MATCH(O$1,Analysts,0),FALSE),60)</f>
        <v>60</v>
      </c>
      <c r="P66">
        <f>_xlfn.IFNA(VLOOKUP($A66,PredictionTable,MATCH(P$1,Analysts,0),FALSE),60)</f>
        <v>60</v>
      </c>
      <c r="V66" s="7" t="s">
        <v>589</v>
      </c>
    </row>
    <row r="67" spans="1:22" x14ac:dyDescent="0.45">
      <c r="A67" s="1" t="s">
        <v>70</v>
      </c>
      <c r="B67" s="1" t="s">
        <v>5</v>
      </c>
      <c r="C67" s="1">
        <f>INDEX(T_Performances,MATCH($A67,T_Names,0))</f>
        <v>0</v>
      </c>
      <c r="D67">
        <v>3.12</v>
      </c>
      <c r="E67" s="1">
        <f>INDEX(T_Avg_PPG,MATCH($A67,T_Names,0))</f>
        <v>3.12</v>
      </c>
      <c r="F67">
        <f>1+COUNTIFS(T_Total,"&gt;"&amp;D67,T_Pos,$B67)</f>
        <v>66</v>
      </c>
      <c r="G67">
        <f>1+COUNTIFS(T_Avg_PPG,"&gt;"&amp;E67,T_Pos,$B67)</f>
        <v>66</v>
      </c>
      <c r="H67">
        <f>_xlfn.IFNA(VLOOKUP($A67,PredictionTable,MATCH(H$1,Analysts,0),FALSE),60)</f>
        <v>60</v>
      </c>
      <c r="I67">
        <f>_xlfn.IFNA(VLOOKUP($A67,PredictionTable,MATCH(I$1,Analysts,0),FALSE),60)</f>
        <v>60</v>
      </c>
      <c r="J67">
        <f>_xlfn.IFNA(VLOOKUP($A67,PredictionTable,MATCH(J$1,Analysts,0),FALSE),60)</f>
        <v>60</v>
      </c>
      <c r="K67">
        <f>_xlfn.IFNA(VLOOKUP($A67,PredictionTable,MATCH(K$1,Analysts,0),FALSE),60)</f>
        <v>60</v>
      </c>
      <c r="L67">
        <f>_xlfn.IFNA(VLOOKUP($A67,PredictionTable,MATCH(L$1,Analysts,0),FALSE),60)</f>
        <v>60</v>
      </c>
      <c r="M67">
        <f>_xlfn.IFNA(VLOOKUP($A67,PredictionTable,MATCH(M$1,Analysts,0),FALSE),60)</f>
        <v>60</v>
      </c>
      <c r="N67">
        <f>_xlfn.IFNA(VLOOKUP($A67,PredictionTable,MATCH(N$1,Analysts,0),FALSE),60)</f>
        <v>60</v>
      </c>
      <c r="O67">
        <f>_xlfn.IFNA(VLOOKUP($A67,PredictionTable,MATCH(O$1,Analysts,0),FALSE),60)</f>
        <v>60</v>
      </c>
      <c r="P67">
        <f>_xlfn.IFNA(VLOOKUP($A67,PredictionTable,MATCH(P$1,Analysts,0),FALSE),60)</f>
        <v>60</v>
      </c>
      <c r="V67" s="7" t="s">
        <v>589</v>
      </c>
    </row>
    <row r="68" spans="1:22" x14ac:dyDescent="0.45">
      <c r="A68" s="1" t="s">
        <v>71</v>
      </c>
      <c r="B68" s="1" t="s">
        <v>5</v>
      </c>
      <c r="C68" s="1">
        <f>INDEX(T_Performances,MATCH($A68,T_Names,0))</f>
        <v>0</v>
      </c>
      <c r="D68">
        <v>2.68</v>
      </c>
      <c r="E68" s="1">
        <f>INDEX(T_Avg_PPG,MATCH($A68,T_Names,0))</f>
        <v>2.68</v>
      </c>
      <c r="F68">
        <f>1+COUNTIFS(T_Total,"&gt;"&amp;D68,T_Pos,$B68)</f>
        <v>67</v>
      </c>
      <c r="G68">
        <f>1+COUNTIFS(T_Avg_PPG,"&gt;"&amp;E68,T_Pos,$B68)</f>
        <v>67</v>
      </c>
      <c r="H68">
        <f>_xlfn.IFNA(VLOOKUP($A68,PredictionTable,MATCH(H$1,Analysts,0),FALSE),60)</f>
        <v>60</v>
      </c>
      <c r="I68">
        <f>_xlfn.IFNA(VLOOKUP($A68,PredictionTable,MATCH(I$1,Analysts,0),FALSE),60)</f>
        <v>60</v>
      </c>
      <c r="J68">
        <f>_xlfn.IFNA(VLOOKUP($A68,PredictionTable,MATCH(J$1,Analysts,0),FALSE),60)</f>
        <v>60</v>
      </c>
      <c r="K68">
        <f>_xlfn.IFNA(VLOOKUP($A68,PredictionTable,MATCH(K$1,Analysts,0),FALSE),60)</f>
        <v>60</v>
      </c>
      <c r="L68">
        <f>_xlfn.IFNA(VLOOKUP($A68,PredictionTable,MATCH(L$1,Analysts,0),FALSE),60)</f>
        <v>60</v>
      </c>
      <c r="M68">
        <f>_xlfn.IFNA(VLOOKUP($A68,PredictionTable,MATCH(M$1,Analysts,0),FALSE),60)</f>
        <v>60</v>
      </c>
      <c r="N68">
        <f>_xlfn.IFNA(VLOOKUP($A68,PredictionTable,MATCH(N$1,Analysts,0),FALSE),60)</f>
        <v>60</v>
      </c>
      <c r="O68">
        <f>_xlfn.IFNA(VLOOKUP($A68,PredictionTable,MATCH(O$1,Analysts,0),FALSE),60)</f>
        <v>60</v>
      </c>
      <c r="P68">
        <f>_xlfn.IFNA(VLOOKUP($A68,PredictionTable,MATCH(P$1,Analysts,0),FALSE),60)</f>
        <v>60</v>
      </c>
      <c r="V68" s="7" t="s">
        <v>589</v>
      </c>
    </row>
    <row r="69" spans="1:22" x14ac:dyDescent="0.45">
      <c r="A69" s="1" t="s">
        <v>72</v>
      </c>
      <c r="B69" s="1" t="s">
        <v>5</v>
      </c>
      <c r="C69" s="1">
        <f>INDEX(T_Performances,MATCH($A69,T_Names,0))</f>
        <v>0</v>
      </c>
      <c r="D69">
        <v>1.32</v>
      </c>
      <c r="E69" s="1">
        <f>INDEX(T_Avg_PPG,MATCH($A69,T_Names,0))</f>
        <v>1.32</v>
      </c>
      <c r="F69">
        <f>1+COUNTIFS(T_Total,"&gt;"&amp;D69,T_Pos,$B69)</f>
        <v>68</v>
      </c>
      <c r="G69">
        <f>1+COUNTIFS(T_Avg_PPG,"&gt;"&amp;E69,T_Pos,$B69)</f>
        <v>68</v>
      </c>
      <c r="H69">
        <f>_xlfn.IFNA(VLOOKUP($A69,PredictionTable,MATCH(H$1,Analysts,0),FALSE),60)</f>
        <v>60</v>
      </c>
      <c r="I69">
        <f>_xlfn.IFNA(VLOOKUP($A69,PredictionTable,MATCH(I$1,Analysts,0),FALSE),60)</f>
        <v>60</v>
      </c>
      <c r="J69">
        <f>_xlfn.IFNA(VLOOKUP($A69,PredictionTable,MATCH(J$1,Analysts,0),FALSE),60)</f>
        <v>60</v>
      </c>
      <c r="K69">
        <f>_xlfn.IFNA(VLOOKUP($A69,PredictionTable,MATCH(K$1,Analysts,0),FALSE),60)</f>
        <v>60</v>
      </c>
      <c r="L69">
        <f>_xlfn.IFNA(VLOOKUP($A69,PredictionTable,MATCH(L$1,Analysts,0),FALSE),60)</f>
        <v>60</v>
      </c>
      <c r="M69">
        <f>_xlfn.IFNA(VLOOKUP($A69,PredictionTable,MATCH(M$1,Analysts,0),FALSE),60)</f>
        <v>60</v>
      </c>
      <c r="N69">
        <f>_xlfn.IFNA(VLOOKUP($A69,PredictionTable,MATCH(N$1,Analysts,0),FALSE),60)</f>
        <v>60</v>
      </c>
      <c r="O69">
        <f>_xlfn.IFNA(VLOOKUP($A69,PredictionTable,MATCH(O$1,Analysts,0),FALSE),60)</f>
        <v>60</v>
      </c>
      <c r="P69">
        <f>_xlfn.IFNA(VLOOKUP($A69,PredictionTable,MATCH(P$1,Analysts,0),FALSE),60)</f>
        <v>60</v>
      </c>
      <c r="V69" s="7" t="s">
        <v>589</v>
      </c>
    </row>
    <row r="70" spans="1:22" x14ac:dyDescent="0.45">
      <c r="A70" s="1" t="s">
        <v>73</v>
      </c>
      <c r="B70" s="1" t="s">
        <v>5</v>
      </c>
      <c r="C70" s="1">
        <f>INDEX(T_Performances,MATCH($A70,T_Names,0))</f>
        <v>0</v>
      </c>
      <c r="D70">
        <v>1.1200000000000001</v>
      </c>
      <c r="E70" s="1">
        <f>INDEX(T_Avg_PPG,MATCH($A70,T_Names,0))</f>
        <v>1.1200000000000001</v>
      </c>
      <c r="F70">
        <f>1+COUNTIFS(T_Total,"&gt;"&amp;D70,T_Pos,$B70)</f>
        <v>69</v>
      </c>
      <c r="G70">
        <f>1+COUNTIFS(T_Avg_PPG,"&gt;"&amp;E70,T_Pos,$B70)</f>
        <v>69</v>
      </c>
      <c r="H70">
        <f>_xlfn.IFNA(VLOOKUP($A70,PredictionTable,MATCH(H$1,Analysts,0),FALSE),60)</f>
        <v>60</v>
      </c>
      <c r="I70">
        <f>_xlfn.IFNA(VLOOKUP($A70,PredictionTable,MATCH(I$1,Analysts,0),FALSE),60)</f>
        <v>60</v>
      </c>
      <c r="J70">
        <f>_xlfn.IFNA(VLOOKUP($A70,PredictionTable,MATCH(J$1,Analysts,0),FALSE),60)</f>
        <v>60</v>
      </c>
      <c r="K70">
        <f>_xlfn.IFNA(VLOOKUP($A70,PredictionTable,MATCH(K$1,Analysts,0),FALSE),60)</f>
        <v>60</v>
      </c>
      <c r="L70">
        <f>_xlfn.IFNA(VLOOKUP($A70,PredictionTable,MATCH(L$1,Analysts,0),FALSE),60)</f>
        <v>60</v>
      </c>
      <c r="M70">
        <f>_xlfn.IFNA(VLOOKUP($A70,PredictionTable,MATCH(M$1,Analysts,0),FALSE),60)</f>
        <v>60</v>
      </c>
      <c r="N70">
        <f>_xlfn.IFNA(VLOOKUP($A70,PredictionTable,MATCH(N$1,Analysts,0),FALSE),60)</f>
        <v>60</v>
      </c>
      <c r="O70">
        <f>_xlfn.IFNA(VLOOKUP($A70,PredictionTable,MATCH(O$1,Analysts,0),FALSE),60)</f>
        <v>60</v>
      </c>
      <c r="P70">
        <f>_xlfn.IFNA(VLOOKUP($A70,PredictionTable,MATCH(P$1,Analysts,0),FALSE),60)</f>
        <v>60</v>
      </c>
      <c r="V70" s="7" t="s">
        <v>589</v>
      </c>
    </row>
    <row r="71" spans="1:22" x14ac:dyDescent="0.45">
      <c r="A71" s="1" t="s">
        <v>74</v>
      </c>
      <c r="B71" s="1" t="s">
        <v>5</v>
      </c>
      <c r="C71" s="1">
        <f>INDEX(T_Performances,MATCH($A71,T_Names,0))</f>
        <v>0</v>
      </c>
      <c r="D71">
        <v>0.78</v>
      </c>
      <c r="E71" s="1">
        <f>INDEX(T_Avg_PPG,MATCH($A71,T_Names,0))</f>
        <v>0.78</v>
      </c>
      <c r="F71">
        <f>1+COUNTIFS(T_Total,"&gt;"&amp;D71,T_Pos,$B71)</f>
        <v>70</v>
      </c>
      <c r="G71">
        <f>1+COUNTIFS(T_Avg_PPG,"&gt;"&amp;E71,T_Pos,$B71)</f>
        <v>70</v>
      </c>
      <c r="H71">
        <f>_xlfn.IFNA(VLOOKUP($A71,PredictionTable,MATCH(H$1,Analysts,0),FALSE),60)</f>
        <v>60</v>
      </c>
      <c r="I71">
        <f>_xlfn.IFNA(VLOOKUP($A71,PredictionTable,MATCH(I$1,Analysts,0),FALSE),60)</f>
        <v>60</v>
      </c>
      <c r="J71">
        <f>_xlfn.IFNA(VLOOKUP($A71,PredictionTable,MATCH(J$1,Analysts,0),FALSE),60)</f>
        <v>60</v>
      </c>
      <c r="K71">
        <f>_xlfn.IFNA(VLOOKUP($A71,PredictionTable,MATCH(K$1,Analysts,0),FALSE),60)</f>
        <v>60</v>
      </c>
      <c r="L71">
        <f>_xlfn.IFNA(VLOOKUP($A71,PredictionTable,MATCH(L$1,Analysts,0),FALSE),60)</f>
        <v>60</v>
      </c>
      <c r="M71">
        <f>_xlfn.IFNA(VLOOKUP($A71,PredictionTable,MATCH(M$1,Analysts,0),FALSE),60)</f>
        <v>60</v>
      </c>
      <c r="N71">
        <f>_xlfn.IFNA(VLOOKUP($A71,PredictionTable,MATCH(N$1,Analysts,0),FALSE),60)</f>
        <v>60</v>
      </c>
      <c r="O71">
        <f>_xlfn.IFNA(VLOOKUP($A71,PredictionTable,MATCH(O$1,Analysts,0),FALSE),60)</f>
        <v>60</v>
      </c>
      <c r="P71">
        <f>_xlfn.IFNA(VLOOKUP($A71,PredictionTable,MATCH(P$1,Analysts,0),FALSE),60)</f>
        <v>60</v>
      </c>
      <c r="V71" s="7" t="s">
        <v>589</v>
      </c>
    </row>
    <row r="72" spans="1:22" x14ac:dyDescent="0.45">
      <c r="A72" s="1" t="s">
        <v>75</v>
      </c>
      <c r="B72" s="1" t="s">
        <v>5</v>
      </c>
      <c r="C72" s="1">
        <f>INDEX(T_Performances,MATCH($A72,T_Names,0))</f>
        <v>0</v>
      </c>
      <c r="D72">
        <v>0.76</v>
      </c>
      <c r="E72" s="1">
        <f>INDEX(T_Avg_PPG,MATCH($A72,T_Names,0))</f>
        <v>0.76</v>
      </c>
      <c r="F72">
        <f>1+COUNTIFS(T_Total,"&gt;"&amp;D72,T_Pos,$B72)</f>
        <v>71</v>
      </c>
      <c r="G72">
        <f>1+COUNTIFS(T_Avg_PPG,"&gt;"&amp;E72,T_Pos,$B72)</f>
        <v>71</v>
      </c>
      <c r="H72">
        <f>_xlfn.IFNA(VLOOKUP($A72,PredictionTable,MATCH(H$1,Analysts,0),FALSE),60)</f>
        <v>60</v>
      </c>
      <c r="I72">
        <f>_xlfn.IFNA(VLOOKUP($A72,PredictionTable,MATCH(I$1,Analysts,0),FALSE),60)</f>
        <v>60</v>
      </c>
      <c r="J72">
        <f>_xlfn.IFNA(VLOOKUP($A72,PredictionTable,MATCH(J$1,Analysts,0),FALSE),60)</f>
        <v>60</v>
      </c>
      <c r="K72">
        <f>_xlfn.IFNA(VLOOKUP($A72,PredictionTable,MATCH(K$1,Analysts,0),FALSE),60)</f>
        <v>60</v>
      </c>
      <c r="L72">
        <f>_xlfn.IFNA(VLOOKUP($A72,PredictionTable,MATCH(L$1,Analysts,0),FALSE),60)</f>
        <v>60</v>
      </c>
      <c r="M72">
        <f>_xlfn.IFNA(VLOOKUP($A72,PredictionTable,MATCH(M$1,Analysts,0),FALSE),60)</f>
        <v>60</v>
      </c>
      <c r="N72">
        <f>_xlfn.IFNA(VLOOKUP($A72,PredictionTable,MATCH(N$1,Analysts,0),FALSE),60)</f>
        <v>60</v>
      </c>
      <c r="O72">
        <f>_xlfn.IFNA(VLOOKUP($A72,PredictionTable,MATCH(O$1,Analysts,0),FALSE),60)</f>
        <v>60</v>
      </c>
      <c r="P72">
        <f>_xlfn.IFNA(VLOOKUP($A72,PredictionTable,MATCH(P$1,Analysts,0),FALSE),60)</f>
        <v>60</v>
      </c>
      <c r="V72" s="7" t="s">
        <v>589</v>
      </c>
    </row>
    <row r="73" spans="1:22" x14ac:dyDescent="0.45">
      <c r="A73" s="1" t="s">
        <v>76</v>
      </c>
      <c r="B73" s="1" t="s">
        <v>5</v>
      </c>
      <c r="C73" s="1">
        <f>INDEX(T_Performances,MATCH($A73,T_Names,0))</f>
        <v>0</v>
      </c>
      <c r="D73">
        <v>0.5</v>
      </c>
      <c r="E73" s="1">
        <f>INDEX(T_Avg_PPG,MATCH($A73,T_Names,0))</f>
        <v>0.5</v>
      </c>
      <c r="F73">
        <f>1+COUNTIFS(T_Total,"&gt;"&amp;D73,T_Pos,$B73)</f>
        <v>72</v>
      </c>
      <c r="G73">
        <f>1+COUNTIFS(T_Avg_PPG,"&gt;"&amp;E73,T_Pos,$B73)</f>
        <v>72</v>
      </c>
      <c r="H73">
        <f>_xlfn.IFNA(VLOOKUP($A73,PredictionTable,MATCH(H$1,Analysts,0),FALSE),60)</f>
        <v>60</v>
      </c>
      <c r="I73">
        <f>_xlfn.IFNA(VLOOKUP($A73,PredictionTable,MATCH(I$1,Analysts,0),FALSE),60)</f>
        <v>60</v>
      </c>
      <c r="J73">
        <f>_xlfn.IFNA(VLOOKUP($A73,PredictionTable,MATCH(J$1,Analysts,0),FALSE),60)</f>
        <v>60</v>
      </c>
      <c r="K73">
        <f>_xlfn.IFNA(VLOOKUP($A73,PredictionTable,MATCH(K$1,Analysts,0),FALSE),60)</f>
        <v>60</v>
      </c>
      <c r="L73">
        <f>_xlfn.IFNA(VLOOKUP($A73,PredictionTable,MATCH(L$1,Analysts,0),FALSE),60)</f>
        <v>60</v>
      </c>
      <c r="M73">
        <f>_xlfn.IFNA(VLOOKUP($A73,PredictionTable,MATCH(M$1,Analysts,0),FALSE),60)</f>
        <v>60</v>
      </c>
      <c r="N73">
        <f>_xlfn.IFNA(VLOOKUP($A73,PredictionTable,MATCH(N$1,Analysts,0),FALSE),60)</f>
        <v>60</v>
      </c>
      <c r="O73">
        <f>_xlfn.IFNA(VLOOKUP($A73,PredictionTable,MATCH(O$1,Analysts,0),FALSE),60)</f>
        <v>60</v>
      </c>
      <c r="P73">
        <f>_xlfn.IFNA(VLOOKUP($A73,PredictionTable,MATCH(P$1,Analysts,0),FALSE),60)</f>
        <v>60</v>
      </c>
      <c r="V73" s="7" t="s">
        <v>589</v>
      </c>
    </row>
    <row r="74" spans="1:22" x14ac:dyDescent="0.45">
      <c r="A74" s="1" t="s">
        <v>77</v>
      </c>
      <c r="B74" s="1" t="s">
        <v>5</v>
      </c>
      <c r="C74" s="1">
        <f>INDEX(T_Performances,MATCH($A74,T_Names,0))</f>
        <v>0</v>
      </c>
      <c r="D74">
        <v>0.5</v>
      </c>
      <c r="E74" s="1">
        <f>INDEX(T_Avg_PPG,MATCH($A74,T_Names,0))</f>
        <v>0.5</v>
      </c>
      <c r="F74">
        <f>1+COUNTIFS(T_Total,"&gt;"&amp;D74,T_Pos,$B74)</f>
        <v>72</v>
      </c>
      <c r="G74">
        <f>1+COUNTIFS(T_Avg_PPG,"&gt;"&amp;E74,T_Pos,$B74)</f>
        <v>72</v>
      </c>
      <c r="H74">
        <f>_xlfn.IFNA(VLOOKUP($A74,PredictionTable,MATCH(H$1,Analysts,0),FALSE),60)</f>
        <v>60</v>
      </c>
      <c r="I74">
        <f>_xlfn.IFNA(VLOOKUP($A74,PredictionTable,MATCH(I$1,Analysts,0),FALSE),60)</f>
        <v>60</v>
      </c>
      <c r="J74">
        <f>_xlfn.IFNA(VLOOKUP($A74,PredictionTable,MATCH(J$1,Analysts,0),FALSE),60)</f>
        <v>60</v>
      </c>
      <c r="K74">
        <f>_xlfn.IFNA(VLOOKUP($A74,PredictionTable,MATCH(K$1,Analysts,0),FALSE),60)</f>
        <v>60</v>
      </c>
      <c r="L74">
        <f>_xlfn.IFNA(VLOOKUP($A74,PredictionTable,MATCH(L$1,Analysts,0),FALSE),60)</f>
        <v>60</v>
      </c>
      <c r="M74">
        <f>_xlfn.IFNA(VLOOKUP($A74,PredictionTable,MATCH(M$1,Analysts,0),FALSE),60)</f>
        <v>60</v>
      </c>
      <c r="N74">
        <f>_xlfn.IFNA(VLOOKUP($A74,PredictionTable,MATCH(N$1,Analysts,0),FALSE),60)</f>
        <v>60</v>
      </c>
      <c r="O74">
        <f>_xlfn.IFNA(VLOOKUP($A74,PredictionTable,MATCH(O$1,Analysts,0),FALSE),60)</f>
        <v>60</v>
      </c>
      <c r="P74">
        <f>_xlfn.IFNA(VLOOKUP($A74,PredictionTable,MATCH(P$1,Analysts,0),FALSE),60)</f>
        <v>60</v>
      </c>
      <c r="V74" s="7" t="s">
        <v>589</v>
      </c>
    </row>
    <row r="75" spans="1:22" x14ac:dyDescent="0.45">
      <c r="A75" s="1" t="s">
        <v>78</v>
      </c>
      <c r="B75" s="1" t="s">
        <v>5</v>
      </c>
      <c r="C75" s="1">
        <f>INDEX(T_Performances,MATCH($A75,T_Names,0))</f>
        <v>0</v>
      </c>
      <c r="D75">
        <v>-0.2</v>
      </c>
      <c r="E75" s="1">
        <f>INDEX(T_Avg_PPG,MATCH($A75,T_Names,0))</f>
        <v>-0.2</v>
      </c>
      <c r="F75">
        <f>1+COUNTIFS(T_Total,"&gt;"&amp;D75,T_Pos,$B75)</f>
        <v>74</v>
      </c>
      <c r="G75">
        <f>1+COUNTIFS(T_Avg_PPG,"&gt;"&amp;E75,T_Pos,$B75)</f>
        <v>74</v>
      </c>
      <c r="H75">
        <f>_xlfn.IFNA(VLOOKUP($A75,PredictionTable,MATCH(H$1,Analysts,0),FALSE),60)</f>
        <v>60</v>
      </c>
      <c r="I75">
        <f>_xlfn.IFNA(VLOOKUP($A75,PredictionTable,MATCH(I$1,Analysts,0),FALSE),60)</f>
        <v>60</v>
      </c>
      <c r="J75">
        <f>_xlfn.IFNA(VLOOKUP($A75,PredictionTable,MATCH(J$1,Analysts,0),FALSE),60)</f>
        <v>60</v>
      </c>
      <c r="K75">
        <f>_xlfn.IFNA(VLOOKUP($A75,PredictionTable,MATCH(K$1,Analysts,0),FALSE),60)</f>
        <v>60</v>
      </c>
      <c r="L75">
        <f>_xlfn.IFNA(VLOOKUP($A75,PredictionTable,MATCH(L$1,Analysts,0),FALSE),60)</f>
        <v>60</v>
      </c>
      <c r="M75">
        <f>_xlfn.IFNA(VLOOKUP($A75,PredictionTable,MATCH(M$1,Analysts,0),FALSE),60)</f>
        <v>60</v>
      </c>
      <c r="N75">
        <f>_xlfn.IFNA(VLOOKUP($A75,PredictionTable,MATCH(N$1,Analysts,0),FALSE),60)</f>
        <v>60</v>
      </c>
      <c r="O75">
        <f>_xlfn.IFNA(VLOOKUP($A75,PredictionTable,MATCH(O$1,Analysts,0),FALSE),60)</f>
        <v>60</v>
      </c>
      <c r="P75">
        <f>_xlfn.IFNA(VLOOKUP($A75,PredictionTable,MATCH(P$1,Analysts,0),FALSE),60)</f>
        <v>60</v>
      </c>
      <c r="V75" s="7" t="s">
        <v>589</v>
      </c>
    </row>
    <row r="76" spans="1:22" x14ac:dyDescent="0.45">
      <c r="A76" s="1" t="s">
        <v>79</v>
      </c>
      <c r="B76" s="1" t="s">
        <v>5</v>
      </c>
      <c r="C76" s="1">
        <f>INDEX(T_Performances,MATCH($A76,T_Names,0))</f>
        <v>0</v>
      </c>
      <c r="D76">
        <v>-0.2</v>
      </c>
      <c r="E76" s="1">
        <f>INDEX(T_Avg_PPG,MATCH($A76,T_Names,0))</f>
        <v>-0.2</v>
      </c>
      <c r="F76">
        <f>1+COUNTIFS(T_Total,"&gt;"&amp;D76,T_Pos,$B76)</f>
        <v>74</v>
      </c>
      <c r="G76">
        <f>1+COUNTIFS(T_Avg_PPG,"&gt;"&amp;E76,T_Pos,$B76)</f>
        <v>74</v>
      </c>
      <c r="H76">
        <f>_xlfn.IFNA(VLOOKUP($A76,PredictionTable,MATCH(H$1,Analysts,0),FALSE),60)</f>
        <v>60</v>
      </c>
      <c r="I76">
        <f>_xlfn.IFNA(VLOOKUP($A76,PredictionTable,MATCH(I$1,Analysts,0),FALSE),60)</f>
        <v>60</v>
      </c>
      <c r="J76">
        <f>_xlfn.IFNA(VLOOKUP($A76,PredictionTable,MATCH(J$1,Analysts,0),FALSE),60)</f>
        <v>60</v>
      </c>
      <c r="K76">
        <f>_xlfn.IFNA(VLOOKUP($A76,PredictionTable,MATCH(K$1,Analysts,0),FALSE),60)</f>
        <v>60</v>
      </c>
      <c r="L76">
        <f>_xlfn.IFNA(VLOOKUP($A76,PredictionTable,MATCH(L$1,Analysts,0),FALSE),60)</f>
        <v>60</v>
      </c>
      <c r="M76">
        <f>_xlfn.IFNA(VLOOKUP($A76,PredictionTable,MATCH(M$1,Analysts,0),FALSE),60)</f>
        <v>60</v>
      </c>
      <c r="N76">
        <f>_xlfn.IFNA(VLOOKUP($A76,PredictionTable,MATCH(N$1,Analysts,0),FALSE),60)</f>
        <v>60</v>
      </c>
      <c r="O76">
        <f>_xlfn.IFNA(VLOOKUP($A76,PredictionTable,MATCH(O$1,Analysts,0),FALSE),60)</f>
        <v>60</v>
      </c>
      <c r="P76">
        <f>_xlfn.IFNA(VLOOKUP($A76,PredictionTable,MATCH(P$1,Analysts,0),FALSE),60)</f>
        <v>60</v>
      </c>
      <c r="V76" s="7" t="s">
        <v>589</v>
      </c>
    </row>
    <row r="77" spans="1:22" x14ac:dyDescent="0.45">
      <c r="A77" s="1" t="s">
        <v>80</v>
      </c>
      <c r="B77" s="1" t="s">
        <v>5</v>
      </c>
      <c r="C77" s="1">
        <f>INDEX(T_Performances,MATCH($A77,T_Names,0))</f>
        <v>0</v>
      </c>
      <c r="D77">
        <v>-0.26</v>
      </c>
      <c r="E77" s="1">
        <f>INDEX(T_Avg_PPG,MATCH($A77,T_Names,0))</f>
        <v>-0.26</v>
      </c>
      <c r="F77">
        <f>1+COUNTIFS(T_Total,"&gt;"&amp;D77,T_Pos,$B77)</f>
        <v>76</v>
      </c>
      <c r="G77">
        <f>1+COUNTIFS(T_Avg_PPG,"&gt;"&amp;E77,T_Pos,$B77)</f>
        <v>76</v>
      </c>
      <c r="H77">
        <f>_xlfn.IFNA(VLOOKUP($A77,PredictionTable,MATCH(H$1,Analysts,0),FALSE),60)</f>
        <v>60</v>
      </c>
      <c r="I77">
        <f>_xlfn.IFNA(VLOOKUP($A77,PredictionTable,MATCH(I$1,Analysts,0),FALSE),60)</f>
        <v>60</v>
      </c>
      <c r="J77">
        <f>_xlfn.IFNA(VLOOKUP($A77,PredictionTable,MATCH(J$1,Analysts,0),FALSE),60)</f>
        <v>60</v>
      </c>
      <c r="K77">
        <f>_xlfn.IFNA(VLOOKUP($A77,PredictionTable,MATCH(K$1,Analysts,0),FALSE),60)</f>
        <v>60</v>
      </c>
      <c r="L77">
        <f>_xlfn.IFNA(VLOOKUP($A77,PredictionTable,MATCH(L$1,Analysts,0),FALSE),60)</f>
        <v>60</v>
      </c>
      <c r="M77">
        <f>_xlfn.IFNA(VLOOKUP($A77,PredictionTable,MATCH(M$1,Analysts,0),FALSE),60)</f>
        <v>60</v>
      </c>
      <c r="N77">
        <f>_xlfn.IFNA(VLOOKUP($A77,PredictionTable,MATCH(N$1,Analysts,0),FALSE),60)</f>
        <v>60</v>
      </c>
      <c r="O77">
        <f>_xlfn.IFNA(VLOOKUP($A77,PredictionTable,MATCH(O$1,Analysts,0),FALSE),60)</f>
        <v>60</v>
      </c>
      <c r="P77">
        <f>_xlfn.IFNA(VLOOKUP($A77,PredictionTable,MATCH(P$1,Analysts,0),FALSE),60)</f>
        <v>60</v>
      </c>
      <c r="V77" s="7" t="s">
        <v>589</v>
      </c>
    </row>
    <row r="78" spans="1:22" x14ac:dyDescent="0.45">
      <c r="A78" s="1" t="s">
        <v>81</v>
      </c>
      <c r="B78" s="1" t="s">
        <v>5</v>
      </c>
      <c r="C78" s="1">
        <f>INDEX(T_Performances,MATCH($A78,T_Names,0))</f>
        <v>0</v>
      </c>
      <c r="D78">
        <v>-0.84</v>
      </c>
      <c r="E78" s="1">
        <f>INDEX(T_Avg_PPG,MATCH($A78,T_Names,0))</f>
        <v>-0.84</v>
      </c>
      <c r="F78">
        <f>1+COUNTIFS(T_Total,"&gt;"&amp;D78,T_Pos,$B78)</f>
        <v>77</v>
      </c>
      <c r="G78">
        <f>1+COUNTIFS(T_Avg_PPG,"&gt;"&amp;E78,T_Pos,$B78)</f>
        <v>77</v>
      </c>
      <c r="H78">
        <f>_xlfn.IFNA(VLOOKUP($A78,PredictionTable,MATCH(H$1,Analysts,0),FALSE),60)</f>
        <v>60</v>
      </c>
      <c r="I78">
        <f>_xlfn.IFNA(VLOOKUP($A78,PredictionTable,MATCH(I$1,Analysts,0),FALSE),60)</f>
        <v>60</v>
      </c>
      <c r="J78">
        <f>_xlfn.IFNA(VLOOKUP($A78,PredictionTable,MATCH(J$1,Analysts,0),FALSE),60)</f>
        <v>60</v>
      </c>
      <c r="K78">
        <f>_xlfn.IFNA(VLOOKUP($A78,PredictionTable,MATCH(K$1,Analysts,0),FALSE),60)</f>
        <v>60</v>
      </c>
      <c r="L78">
        <f>_xlfn.IFNA(VLOOKUP($A78,PredictionTable,MATCH(L$1,Analysts,0),FALSE),60)</f>
        <v>60</v>
      </c>
      <c r="M78">
        <f>_xlfn.IFNA(VLOOKUP($A78,PredictionTable,MATCH(M$1,Analysts,0),FALSE),60)</f>
        <v>60</v>
      </c>
      <c r="N78">
        <f>_xlfn.IFNA(VLOOKUP($A78,PredictionTable,MATCH(N$1,Analysts,0),FALSE),60)</f>
        <v>60</v>
      </c>
      <c r="O78">
        <f>_xlfn.IFNA(VLOOKUP($A78,PredictionTable,MATCH(O$1,Analysts,0),FALSE),60)</f>
        <v>60</v>
      </c>
      <c r="P78">
        <f>_xlfn.IFNA(VLOOKUP($A78,PredictionTable,MATCH(P$1,Analysts,0),FALSE),60)</f>
        <v>60</v>
      </c>
      <c r="V78" s="7" t="s">
        <v>589</v>
      </c>
    </row>
    <row r="79" spans="1:22" x14ac:dyDescent="0.45">
      <c r="A79" s="1" t="s">
        <v>82</v>
      </c>
      <c r="B79" s="1" t="s">
        <v>5</v>
      </c>
      <c r="C79" s="1">
        <f>INDEX(T_Performances,MATCH($A79,T_Names,0))</f>
        <v>0</v>
      </c>
      <c r="D79">
        <v>-2.08</v>
      </c>
      <c r="E79" s="1">
        <f>INDEX(T_Avg_PPG,MATCH($A79,T_Names,0))</f>
        <v>-2.08</v>
      </c>
      <c r="F79">
        <f>1+COUNTIFS(T_Total,"&gt;"&amp;D79,T_Pos,$B79)</f>
        <v>78</v>
      </c>
      <c r="G79">
        <f>1+COUNTIFS(T_Avg_PPG,"&gt;"&amp;E79,T_Pos,$B79)</f>
        <v>78</v>
      </c>
      <c r="H79">
        <f>_xlfn.IFNA(VLOOKUP($A79,PredictionTable,MATCH(H$1,Analysts,0),FALSE),60)</f>
        <v>60</v>
      </c>
      <c r="I79">
        <f>_xlfn.IFNA(VLOOKUP($A79,PredictionTable,MATCH(I$1,Analysts,0),FALSE),60)</f>
        <v>60</v>
      </c>
      <c r="J79">
        <f>_xlfn.IFNA(VLOOKUP($A79,PredictionTable,MATCH(J$1,Analysts,0),FALSE),60)</f>
        <v>60</v>
      </c>
      <c r="K79">
        <f>_xlfn.IFNA(VLOOKUP($A79,PredictionTable,MATCH(K$1,Analysts,0),FALSE),60)</f>
        <v>60</v>
      </c>
      <c r="L79">
        <f>_xlfn.IFNA(VLOOKUP($A79,PredictionTable,MATCH(L$1,Analysts,0),FALSE),60)</f>
        <v>60</v>
      </c>
      <c r="M79">
        <f>_xlfn.IFNA(VLOOKUP($A79,PredictionTable,MATCH(M$1,Analysts,0),FALSE),60)</f>
        <v>60</v>
      </c>
      <c r="N79">
        <f>_xlfn.IFNA(VLOOKUP($A79,PredictionTable,MATCH(N$1,Analysts,0),FALSE),60)</f>
        <v>60</v>
      </c>
      <c r="O79">
        <f>_xlfn.IFNA(VLOOKUP($A79,PredictionTable,MATCH(O$1,Analysts,0),FALSE),60)</f>
        <v>60</v>
      </c>
      <c r="P79">
        <f>_xlfn.IFNA(VLOOKUP($A79,PredictionTable,MATCH(P$1,Analysts,0),FALSE),60)</f>
        <v>60</v>
      </c>
      <c r="V79" s="7" t="s">
        <v>589</v>
      </c>
    </row>
    <row r="80" spans="1:22" x14ac:dyDescent="0.45">
      <c r="A80" s="1" t="s">
        <v>83</v>
      </c>
      <c r="B80" s="1" t="s">
        <v>84</v>
      </c>
      <c r="C80" s="1">
        <f>INDEX(T_Performances,MATCH($A80,T_Names,0))</f>
        <v>12</v>
      </c>
      <c r="D80">
        <v>231.3</v>
      </c>
      <c r="E80" s="1">
        <f>INDEX(T_Avg_PPG,MATCH($A80,T_Names,0))</f>
        <v>16.521428571428572</v>
      </c>
      <c r="F80">
        <f>1+COUNTIFS(T_Total,"&gt;"&amp;D80,T_Pos,$B80)</f>
        <v>10</v>
      </c>
      <c r="G80">
        <f>1+COUNTIFS(T_Avg_PPG,"&gt;"&amp;E80,T_Pos,$B80)</f>
        <v>6</v>
      </c>
      <c r="H80">
        <f>_xlfn.IFNA(VLOOKUP($A80,PredictionTable,MATCH(H$1,Analysts,0),FALSE),60)</f>
        <v>12</v>
      </c>
      <c r="I80">
        <f>_xlfn.IFNA(VLOOKUP($A80,PredictionTable,MATCH(I$1,Analysts,0),FALSE),60)</f>
        <v>12</v>
      </c>
      <c r="J80">
        <f>_xlfn.IFNA(VLOOKUP($A80,PredictionTable,MATCH(J$1,Analysts,0),FALSE),60)</f>
        <v>13</v>
      </c>
      <c r="K80">
        <f>_xlfn.IFNA(VLOOKUP($A80,PredictionTable,MATCH(K$1,Analysts,0),FALSE),60)</f>
        <v>11</v>
      </c>
      <c r="L80">
        <f>_xlfn.IFNA(VLOOKUP($A80,PredictionTable,MATCH(L$1,Analysts,0),FALSE),60)</f>
        <v>15</v>
      </c>
      <c r="M80">
        <f>_xlfn.IFNA(VLOOKUP($A80,PredictionTable,MATCH(M$1,Analysts,0),FALSE),60)</f>
        <v>11</v>
      </c>
      <c r="N80">
        <f>_xlfn.IFNA(VLOOKUP($A80,PredictionTable,MATCH(N$1,Analysts,0),FALSE),60)</f>
        <v>17</v>
      </c>
      <c r="O80">
        <f>_xlfn.IFNA(VLOOKUP($A80,PredictionTable,MATCH(O$1,Analysts,0),FALSE),60)</f>
        <v>11</v>
      </c>
      <c r="P80">
        <f>_xlfn.IFNA(VLOOKUP($A80,PredictionTable,MATCH(P$1,Analysts,0),FALSE),60)</f>
        <v>12.8</v>
      </c>
      <c r="V80" s="7" t="s">
        <v>589</v>
      </c>
    </row>
    <row r="81" spans="1:22" x14ac:dyDescent="0.45">
      <c r="A81" s="1" t="s">
        <v>85</v>
      </c>
      <c r="B81" s="1" t="s">
        <v>84</v>
      </c>
      <c r="C81" s="1">
        <f>INDEX(T_Performances,MATCH($A81,T_Names,0))</f>
        <v>16</v>
      </c>
      <c r="D81">
        <v>336.9</v>
      </c>
      <c r="E81" s="1">
        <f>INDEX(T_Avg_PPG,MATCH($A81,T_Names,0))</f>
        <v>19.817647058823528</v>
      </c>
      <c r="F81">
        <f>1+COUNTIFS(T_Total,"&gt;"&amp;D81,T_Pos,$B81)</f>
        <v>2</v>
      </c>
      <c r="G81">
        <f>1+COUNTIFS(T_Avg_PPG,"&gt;"&amp;E81,T_Pos,$B81)</f>
        <v>2</v>
      </c>
      <c r="H81">
        <f>_xlfn.IFNA(VLOOKUP($A81,PredictionTable,MATCH(H$1,Analysts,0),FALSE),60)</f>
        <v>6</v>
      </c>
      <c r="I81">
        <f>_xlfn.IFNA(VLOOKUP($A81,PredictionTable,MATCH(I$1,Analysts,0),FALSE),60)</f>
        <v>6</v>
      </c>
      <c r="J81">
        <f>_xlfn.IFNA(VLOOKUP($A81,PredictionTable,MATCH(J$1,Analysts,0),FALSE),60)</f>
        <v>7</v>
      </c>
      <c r="K81">
        <f>_xlfn.IFNA(VLOOKUP($A81,PredictionTable,MATCH(K$1,Analysts,0),FALSE),60)</f>
        <v>6</v>
      </c>
      <c r="L81">
        <f>_xlfn.IFNA(VLOOKUP($A81,PredictionTable,MATCH(L$1,Analysts,0),FALSE),60)</f>
        <v>6</v>
      </c>
      <c r="M81">
        <f>_xlfn.IFNA(VLOOKUP($A81,PredictionTable,MATCH(M$1,Analysts,0),FALSE),60)</f>
        <v>8</v>
      </c>
      <c r="N81">
        <f>_xlfn.IFNA(VLOOKUP($A81,PredictionTable,MATCH(N$1,Analysts,0),FALSE),60)</f>
        <v>5</v>
      </c>
      <c r="O81">
        <f>_xlfn.IFNA(VLOOKUP($A81,PredictionTable,MATCH(O$1,Analysts,0),FALSE),60)</f>
        <v>7</v>
      </c>
      <c r="P81">
        <f>_xlfn.IFNA(VLOOKUP($A81,PredictionTable,MATCH(P$1,Analysts,0),FALSE),60)</f>
        <v>6.4</v>
      </c>
      <c r="V81" s="7" t="s">
        <v>589</v>
      </c>
    </row>
    <row r="82" spans="1:22" x14ac:dyDescent="0.45">
      <c r="A82" s="1" t="s">
        <v>86</v>
      </c>
      <c r="B82" s="1" t="s">
        <v>84</v>
      </c>
      <c r="C82" s="1">
        <f>INDEX(T_Performances,MATCH($A82,T_Names,0))</f>
        <v>13</v>
      </c>
      <c r="D82">
        <v>338.8</v>
      </c>
      <c r="E82" s="1">
        <f>INDEX(T_Avg_PPG,MATCH($A82,T_Names,0))</f>
        <v>21.175000000000001</v>
      </c>
      <c r="F82">
        <f>1+COUNTIFS(T_Total,"&gt;"&amp;D82,T_Pos,$B82)</f>
        <v>1</v>
      </c>
      <c r="G82">
        <f>1+COUNTIFS(T_Avg_PPG,"&gt;"&amp;E82,T_Pos,$B82)</f>
        <v>1</v>
      </c>
      <c r="H82">
        <f>_xlfn.IFNA(VLOOKUP($A82,PredictionTable,MATCH(H$1,Analysts,0),FALSE),60)</f>
        <v>5</v>
      </c>
      <c r="I82">
        <f>_xlfn.IFNA(VLOOKUP($A82,PredictionTable,MATCH(I$1,Analysts,0),FALSE),60)</f>
        <v>5</v>
      </c>
      <c r="J82">
        <f>_xlfn.IFNA(VLOOKUP($A82,PredictionTable,MATCH(J$1,Analysts,0),FALSE),60)</f>
        <v>5</v>
      </c>
      <c r="K82">
        <f>_xlfn.IFNA(VLOOKUP($A82,PredictionTable,MATCH(K$1,Analysts,0),FALSE),60)</f>
        <v>5</v>
      </c>
      <c r="L82">
        <f>_xlfn.IFNA(VLOOKUP($A82,PredictionTable,MATCH(L$1,Analysts,0),FALSE),60)</f>
        <v>5</v>
      </c>
      <c r="M82">
        <f>_xlfn.IFNA(VLOOKUP($A82,PredictionTable,MATCH(M$1,Analysts,0),FALSE),60)</f>
        <v>5</v>
      </c>
      <c r="N82">
        <f>_xlfn.IFNA(VLOOKUP($A82,PredictionTable,MATCH(N$1,Analysts,0),FALSE),60)</f>
        <v>6</v>
      </c>
      <c r="O82">
        <f>_xlfn.IFNA(VLOOKUP($A82,PredictionTable,MATCH(O$1,Analysts,0),FALSE),60)</f>
        <v>5</v>
      </c>
      <c r="P82">
        <f>_xlfn.IFNA(VLOOKUP($A82,PredictionTable,MATCH(P$1,Analysts,0),FALSE),60)</f>
        <v>5.0999999999999996</v>
      </c>
      <c r="V82" s="7" t="s">
        <v>589</v>
      </c>
    </row>
    <row r="83" spans="1:22" x14ac:dyDescent="0.45">
      <c r="A83" s="1" t="s">
        <v>87</v>
      </c>
      <c r="B83" s="1" t="s">
        <v>84</v>
      </c>
      <c r="C83" s="1">
        <f>INDEX(T_Performances,MATCH($A83,T_Names,0))</f>
        <v>16</v>
      </c>
      <c r="D83">
        <v>326.89999999999998</v>
      </c>
      <c r="E83" s="1">
        <f>INDEX(T_Avg_PPG,MATCH($A83,T_Names,0))</f>
        <v>19.22941176470588</v>
      </c>
      <c r="F83">
        <f>1+COUNTIFS(T_Total,"&gt;"&amp;D83,T_Pos,$B83)</f>
        <v>3</v>
      </c>
      <c r="G83">
        <f>1+COUNTIFS(T_Avg_PPG,"&gt;"&amp;E83,T_Pos,$B83)</f>
        <v>3</v>
      </c>
      <c r="H83">
        <f>_xlfn.IFNA(VLOOKUP($A83,PredictionTable,MATCH(H$1,Analysts,0),FALSE),60)</f>
        <v>9</v>
      </c>
      <c r="I83">
        <f>_xlfn.IFNA(VLOOKUP($A83,PredictionTable,MATCH(I$1,Analysts,0),FALSE),60)</f>
        <v>10</v>
      </c>
      <c r="J83">
        <f>_xlfn.IFNA(VLOOKUP($A83,PredictionTable,MATCH(J$1,Analysts,0),FALSE),60)</f>
        <v>10</v>
      </c>
      <c r="K83">
        <f>_xlfn.IFNA(VLOOKUP($A83,PredictionTable,MATCH(K$1,Analysts,0),FALSE),60)</f>
        <v>8</v>
      </c>
      <c r="L83">
        <f>_xlfn.IFNA(VLOOKUP($A83,PredictionTable,MATCH(L$1,Analysts,0),FALSE),60)</f>
        <v>7</v>
      </c>
      <c r="M83">
        <f>_xlfn.IFNA(VLOOKUP($A83,PredictionTable,MATCH(M$1,Analysts,0),FALSE),60)</f>
        <v>9</v>
      </c>
      <c r="N83">
        <f>_xlfn.IFNA(VLOOKUP($A83,PredictionTable,MATCH(N$1,Analysts,0),FALSE),60)</f>
        <v>9</v>
      </c>
      <c r="O83">
        <f>_xlfn.IFNA(VLOOKUP($A83,PredictionTable,MATCH(O$1,Analysts,0),FALSE),60)</f>
        <v>9</v>
      </c>
      <c r="P83">
        <f>_xlfn.IFNA(VLOOKUP($A83,PredictionTable,MATCH(P$1,Analysts,0),FALSE),60)</f>
        <v>8.9</v>
      </c>
      <c r="V83" s="7" t="s">
        <v>589</v>
      </c>
    </row>
    <row r="84" spans="1:22" x14ac:dyDescent="0.45">
      <c r="A84" s="1" t="s">
        <v>88</v>
      </c>
      <c r="B84" s="1" t="s">
        <v>84</v>
      </c>
      <c r="C84" s="1">
        <f>INDEX(T_Performances,MATCH($A84,T_Names,0))</f>
        <v>14</v>
      </c>
      <c r="D84">
        <v>311.2</v>
      </c>
      <c r="E84" s="1">
        <f>INDEX(T_Avg_PPG,MATCH($A84,T_Names,0))</f>
        <v>18.305882352941175</v>
      </c>
      <c r="F84">
        <f>1+COUNTIFS(T_Total,"&gt;"&amp;D84,T_Pos,$B84)</f>
        <v>4</v>
      </c>
      <c r="G84">
        <f>1+COUNTIFS(T_Avg_PPG,"&gt;"&amp;E84,T_Pos,$B84)</f>
        <v>4</v>
      </c>
      <c r="H84">
        <f>_xlfn.IFNA(VLOOKUP($A84,PredictionTable,MATCH(H$1,Analysts,0),FALSE),60)</f>
        <v>2</v>
      </c>
      <c r="I84">
        <f>_xlfn.IFNA(VLOOKUP($A84,PredictionTable,MATCH(I$1,Analysts,0),FALSE),60)</f>
        <v>3</v>
      </c>
      <c r="J84">
        <f>_xlfn.IFNA(VLOOKUP($A84,PredictionTable,MATCH(J$1,Analysts,0),FALSE),60)</f>
        <v>3</v>
      </c>
      <c r="K84">
        <f>_xlfn.IFNA(VLOOKUP($A84,PredictionTable,MATCH(K$1,Analysts,0),FALSE),60)</f>
        <v>3</v>
      </c>
      <c r="L84">
        <f>_xlfn.IFNA(VLOOKUP($A84,PredictionTable,MATCH(L$1,Analysts,0),FALSE),60)</f>
        <v>3</v>
      </c>
      <c r="M84">
        <f>_xlfn.IFNA(VLOOKUP($A84,PredictionTable,MATCH(M$1,Analysts,0),FALSE),60)</f>
        <v>3</v>
      </c>
      <c r="N84">
        <f>_xlfn.IFNA(VLOOKUP($A84,PredictionTable,MATCH(N$1,Analysts,0),FALSE),60)</f>
        <v>3</v>
      </c>
      <c r="O84">
        <f>_xlfn.IFNA(VLOOKUP($A84,PredictionTable,MATCH(O$1,Analysts,0),FALSE),60)</f>
        <v>3</v>
      </c>
      <c r="P84">
        <f>_xlfn.IFNA(VLOOKUP($A84,PredictionTable,MATCH(P$1,Analysts,0),FALSE),60)</f>
        <v>2.9</v>
      </c>
      <c r="V84" s="7" t="s">
        <v>589</v>
      </c>
    </row>
    <row r="85" spans="1:22" x14ac:dyDescent="0.45">
      <c r="A85" s="1" t="s">
        <v>89</v>
      </c>
      <c r="B85" s="1" t="s">
        <v>84</v>
      </c>
      <c r="C85" s="1">
        <f>INDEX(T_Performances,MATCH($A85,T_Names,0))</f>
        <v>11</v>
      </c>
      <c r="D85">
        <v>260.89999999999998</v>
      </c>
      <c r="E85" s="1">
        <f>INDEX(T_Avg_PPG,MATCH($A85,T_Names,0))</f>
        <v>15.347058823529411</v>
      </c>
      <c r="F85">
        <f>1+COUNTIFS(T_Total,"&gt;"&amp;D85,T_Pos,$B85)</f>
        <v>6</v>
      </c>
      <c r="G85">
        <f>1+COUNTIFS(T_Avg_PPG,"&gt;"&amp;E85,T_Pos,$B85)</f>
        <v>11</v>
      </c>
      <c r="H85">
        <f>_xlfn.IFNA(VLOOKUP($A85,PredictionTable,MATCH(H$1,Analysts,0),FALSE),60)</f>
        <v>17</v>
      </c>
      <c r="I85">
        <f>_xlfn.IFNA(VLOOKUP($A85,PredictionTable,MATCH(I$1,Analysts,0),FALSE),60)</f>
        <v>17</v>
      </c>
      <c r="J85">
        <f>_xlfn.IFNA(VLOOKUP($A85,PredictionTable,MATCH(J$1,Analysts,0),FALSE),60)</f>
        <v>12</v>
      </c>
      <c r="K85">
        <f>_xlfn.IFNA(VLOOKUP($A85,PredictionTable,MATCH(K$1,Analysts,0),FALSE),60)</f>
        <v>16</v>
      </c>
      <c r="L85">
        <f>_xlfn.IFNA(VLOOKUP($A85,PredictionTable,MATCH(L$1,Analysts,0),FALSE),60)</f>
        <v>17</v>
      </c>
      <c r="M85">
        <f>_xlfn.IFNA(VLOOKUP($A85,PredictionTable,MATCH(M$1,Analysts,0),FALSE),60)</f>
        <v>17</v>
      </c>
      <c r="N85">
        <f>_xlfn.IFNA(VLOOKUP($A85,PredictionTable,MATCH(N$1,Analysts,0),FALSE),60)</f>
        <v>7</v>
      </c>
      <c r="O85">
        <f>_xlfn.IFNA(VLOOKUP($A85,PredictionTable,MATCH(O$1,Analysts,0),FALSE),60)</f>
        <v>17</v>
      </c>
      <c r="P85">
        <f>_xlfn.IFNA(VLOOKUP($A85,PredictionTable,MATCH(P$1,Analysts,0),FALSE),60)</f>
        <v>15</v>
      </c>
      <c r="V85" s="7" t="s">
        <v>589</v>
      </c>
    </row>
    <row r="86" spans="1:22" x14ac:dyDescent="0.45">
      <c r="A86" s="1" t="s">
        <v>90</v>
      </c>
      <c r="B86" s="1" t="s">
        <v>84</v>
      </c>
      <c r="C86" s="1">
        <f>INDEX(T_Performances,MATCH($A86,T_Names,0))</f>
        <v>15</v>
      </c>
      <c r="D86">
        <v>275.10000000000002</v>
      </c>
      <c r="E86" s="1">
        <f>INDEX(T_Avg_PPG,MATCH($A86,T_Names,0))</f>
        <v>16.182352941176472</v>
      </c>
      <c r="F86">
        <f>1+COUNTIFS(T_Total,"&gt;"&amp;D86,T_Pos,$B86)</f>
        <v>5</v>
      </c>
      <c r="G86">
        <f>1+COUNTIFS(T_Avg_PPG,"&gt;"&amp;E86,T_Pos,$B86)</f>
        <v>7</v>
      </c>
      <c r="H86">
        <f>_xlfn.IFNA(VLOOKUP($A86,PredictionTable,MATCH(H$1,Analysts,0),FALSE),60)</f>
        <v>15</v>
      </c>
      <c r="I86">
        <f>_xlfn.IFNA(VLOOKUP($A86,PredictionTable,MATCH(I$1,Analysts,0),FALSE),60)</f>
        <v>15</v>
      </c>
      <c r="J86">
        <f>_xlfn.IFNA(VLOOKUP($A86,PredictionTable,MATCH(J$1,Analysts,0),FALSE),60)</f>
        <v>15</v>
      </c>
      <c r="K86">
        <f>_xlfn.IFNA(VLOOKUP($A86,PredictionTable,MATCH(K$1,Analysts,0),FALSE),60)</f>
        <v>14</v>
      </c>
      <c r="L86">
        <f>_xlfn.IFNA(VLOOKUP($A86,PredictionTable,MATCH(L$1,Analysts,0),FALSE),60)</f>
        <v>13</v>
      </c>
      <c r="M86">
        <f>_xlfn.IFNA(VLOOKUP($A86,PredictionTable,MATCH(M$1,Analysts,0),FALSE),60)</f>
        <v>14</v>
      </c>
      <c r="N86">
        <f>_xlfn.IFNA(VLOOKUP($A86,PredictionTable,MATCH(N$1,Analysts,0),FALSE),60)</f>
        <v>15</v>
      </c>
      <c r="O86">
        <f>_xlfn.IFNA(VLOOKUP($A86,PredictionTable,MATCH(O$1,Analysts,0),FALSE),60)</f>
        <v>14</v>
      </c>
      <c r="P86">
        <f>_xlfn.IFNA(VLOOKUP($A86,PredictionTable,MATCH(P$1,Analysts,0),FALSE),60)</f>
        <v>14.4</v>
      </c>
      <c r="V86" s="7" t="s">
        <v>589</v>
      </c>
    </row>
    <row r="87" spans="1:22" x14ac:dyDescent="0.45">
      <c r="A87" s="1" t="s">
        <v>91</v>
      </c>
      <c r="B87" s="1" t="s">
        <v>84</v>
      </c>
      <c r="C87" s="1">
        <f>INDEX(T_Performances,MATCH($A87,T_Names,0))</f>
        <v>7</v>
      </c>
      <c r="D87">
        <v>178.3</v>
      </c>
      <c r="E87" s="1">
        <f>INDEX(T_Avg_PPG,MATCH($A87,T_Names,0))</f>
        <v>11.143750000000001</v>
      </c>
      <c r="F87">
        <f>1+COUNTIFS(T_Total,"&gt;"&amp;D87,T_Pos,$B87)</f>
        <v>22</v>
      </c>
      <c r="G87">
        <f>1+COUNTIFS(T_Avg_PPG,"&gt;"&amp;E87,T_Pos,$B87)</f>
        <v>26</v>
      </c>
      <c r="H87">
        <f>_xlfn.IFNA(VLOOKUP($A87,PredictionTable,MATCH(H$1,Analysts,0),FALSE),60)</f>
        <v>49</v>
      </c>
      <c r="I87" t="str">
        <f>_xlfn.IFNA(VLOOKUP($A87,PredictionTable,MATCH(I$1,Analysts,0),FALSE),60)</f>
        <v>NR</v>
      </c>
      <c r="J87">
        <f>_xlfn.IFNA(VLOOKUP($A87,PredictionTable,MATCH(J$1,Analysts,0),FALSE),60)</f>
        <v>49</v>
      </c>
      <c r="K87">
        <f>_xlfn.IFNA(VLOOKUP($A87,PredictionTable,MATCH(K$1,Analysts,0),FALSE),60)</f>
        <v>47</v>
      </c>
      <c r="L87" t="str">
        <f>_xlfn.IFNA(VLOOKUP($A87,PredictionTable,MATCH(L$1,Analysts,0),FALSE),60)</f>
        <v>NR</v>
      </c>
      <c r="M87">
        <f>_xlfn.IFNA(VLOOKUP($A87,PredictionTable,MATCH(M$1,Analysts,0),FALSE),60)</f>
        <v>46</v>
      </c>
      <c r="N87">
        <f>_xlfn.IFNA(VLOOKUP($A87,PredictionTable,MATCH(N$1,Analysts,0),FALSE),60)</f>
        <v>46</v>
      </c>
      <c r="O87">
        <f>_xlfn.IFNA(VLOOKUP($A87,PredictionTable,MATCH(O$1,Analysts,0),FALSE),60)</f>
        <v>42</v>
      </c>
      <c r="P87">
        <f>_xlfn.IFNA(VLOOKUP($A87,PredictionTable,MATCH(P$1,Analysts,0),FALSE),60)</f>
        <v>47.6</v>
      </c>
      <c r="V87" s="7" t="s">
        <v>589</v>
      </c>
    </row>
    <row r="88" spans="1:22" x14ac:dyDescent="0.45">
      <c r="A88" s="1" t="s">
        <v>92</v>
      </c>
      <c r="B88" s="1" t="s">
        <v>84</v>
      </c>
      <c r="C88" s="1">
        <f>INDEX(T_Performances,MATCH($A88,T_Names,0))</f>
        <v>8</v>
      </c>
      <c r="D88">
        <v>174.1</v>
      </c>
      <c r="E88" s="1">
        <f>INDEX(T_Avg_PPG,MATCH($A88,T_Names,0))</f>
        <v>11.606666666666666</v>
      </c>
      <c r="F88">
        <f>1+COUNTIFS(T_Total,"&gt;"&amp;D88,T_Pos,$B88)</f>
        <v>24</v>
      </c>
      <c r="G88">
        <f>1+COUNTIFS(T_Avg_PPG,"&gt;"&amp;E88,T_Pos,$B88)</f>
        <v>22</v>
      </c>
      <c r="H88">
        <f>_xlfn.IFNA(VLOOKUP($A88,PredictionTable,MATCH(H$1,Analysts,0),FALSE),60)</f>
        <v>14</v>
      </c>
      <c r="I88">
        <f>_xlfn.IFNA(VLOOKUP($A88,PredictionTable,MATCH(I$1,Analysts,0),FALSE),60)</f>
        <v>11</v>
      </c>
      <c r="J88">
        <f>_xlfn.IFNA(VLOOKUP($A88,PredictionTable,MATCH(J$1,Analysts,0),FALSE),60)</f>
        <v>11</v>
      </c>
      <c r="K88">
        <f>_xlfn.IFNA(VLOOKUP($A88,PredictionTable,MATCH(K$1,Analysts,0),FALSE),60)</f>
        <v>13</v>
      </c>
      <c r="L88">
        <f>_xlfn.IFNA(VLOOKUP($A88,PredictionTable,MATCH(L$1,Analysts,0),FALSE),60)</f>
        <v>14</v>
      </c>
      <c r="M88">
        <f>_xlfn.IFNA(VLOOKUP($A88,PredictionTable,MATCH(M$1,Analysts,0),FALSE),60)</f>
        <v>15</v>
      </c>
      <c r="N88">
        <f>_xlfn.IFNA(VLOOKUP($A88,PredictionTable,MATCH(N$1,Analysts,0),FALSE),60)</f>
        <v>12</v>
      </c>
      <c r="O88">
        <f>_xlfn.IFNA(VLOOKUP($A88,PredictionTable,MATCH(O$1,Analysts,0),FALSE),60)</f>
        <v>15</v>
      </c>
      <c r="P88">
        <f>_xlfn.IFNA(VLOOKUP($A88,PredictionTable,MATCH(P$1,Analysts,0),FALSE),60)</f>
        <v>13.1</v>
      </c>
      <c r="V88" s="7" t="s">
        <v>589</v>
      </c>
    </row>
    <row r="89" spans="1:22" x14ac:dyDescent="0.45">
      <c r="A89" s="1" t="s">
        <v>93</v>
      </c>
      <c r="B89" s="1" t="s">
        <v>84</v>
      </c>
      <c r="C89" s="1">
        <f>INDEX(T_Performances,MATCH($A89,T_Names,0))</f>
        <v>6</v>
      </c>
      <c r="D89">
        <v>165.9</v>
      </c>
      <c r="E89" s="1">
        <f>INDEX(T_Avg_PPG,MATCH($A89,T_Names,0))</f>
        <v>9.7588235294117656</v>
      </c>
      <c r="F89">
        <f>1+COUNTIFS(T_Total,"&gt;"&amp;D89,T_Pos,$B89)</f>
        <v>25</v>
      </c>
      <c r="G89">
        <f>1+COUNTIFS(T_Avg_PPG,"&gt;"&amp;E89,T_Pos,$B89)</f>
        <v>37</v>
      </c>
      <c r="H89">
        <f>_xlfn.IFNA(VLOOKUP($A89,PredictionTable,MATCH(H$1,Analysts,0),FALSE),60)</f>
        <v>40</v>
      </c>
      <c r="I89">
        <f>_xlfn.IFNA(VLOOKUP($A89,PredictionTable,MATCH(I$1,Analysts,0),FALSE),60)</f>
        <v>42</v>
      </c>
      <c r="J89">
        <f>_xlfn.IFNA(VLOOKUP($A89,PredictionTable,MATCH(J$1,Analysts,0),FALSE),60)</f>
        <v>39</v>
      </c>
      <c r="K89">
        <f>_xlfn.IFNA(VLOOKUP($A89,PredictionTable,MATCH(K$1,Analysts,0),FALSE),60)</f>
        <v>38</v>
      </c>
      <c r="L89">
        <f>_xlfn.IFNA(VLOOKUP($A89,PredictionTable,MATCH(L$1,Analysts,0),FALSE),60)</f>
        <v>40</v>
      </c>
      <c r="M89">
        <f>_xlfn.IFNA(VLOOKUP($A89,PredictionTable,MATCH(M$1,Analysts,0),FALSE),60)</f>
        <v>41</v>
      </c>
      <c r="N89">
        <f>_xlfn.IFNA(VLOOKUP($A89,PredictionTable,MATCH(N$1,Analysts,0),FALSE),60)</f>
        <v>44</v>
      </c>
      <c r="O89">
        <f>_xlfn.IFNA(VLOOKUP($A89,PredictionTable,MATCH(O$1,Analysts,0),FALSE),60)</f>
        <v>44</v>
      </c>
      <c r="P89">
        <f>_xlfn.IFNA(VLOOKUP($A89,PredictionTable,MATCH(P$1,Analysts,0),FALSE),60)</f>
        <v>41</v>
      </c>
      <c r="V89" s="7" t="s">
        <v>589</v>
      </c>
    </row>
    <row r="90" spans="1:22" x14ac:dyDescent="0.45">
      <c r="A90" s="1" t="s">
        <v>94</v>
      </c>
      <c r="B90" s="1" t="s">
        <v>84</v>
      </c>
      <c r="C90" s="1">
        <f>INDEX(T_Performances,MATCH($A90,T_Names,0))</f>
        <v>4</v>
      </c>
      <c r="D90">
        <v>110.7</v>
      </c>
      <c r="E90" s="1">
        <f>INDEX(T_Avg_PPG,MATCH($A90,T_Names,0))</f>
        <v>7.9071428571428575</v>
      </c>
      <c r="F90">
        <f>1+COUNTIFS(T_Total,"&gt;"&amp;D90,T_Pos,$B90)</f>
        <v>36</v>
      </c>
      <c r="G90">
        <f>1+COUNTIFS(T_Avg_PPG,"&gt;"&amp;E90,T_Pos,$B90)</f>
        <v>47</v>
      </c>
      <c r="H90">
        <f>_xlfn.IFNA(VLOOKUP($A90,PredictionTable,MATCH(H$1,Analysts,0),FALSE),60)</f>
        <v>60</v>
      </c>
      <c r="I90">
        <f>_xlfn.IFNA(VLOOKUP($A90,PredictionTable,MATCH(I$1,Analysts,0),FALSE),60)</f>
        <v>60</v>
      </c>
      <c r="J90">
        <f>_xlfn.IFNA(VLOOKUP($A90,PredictionTable,MATCH(J$1,Analysts,0),FALSE),60)</f>
        <v>60</v>
      </c>
      <c r="K90">
        <f>_xlfn.IFNA(VLOOKUP($A90,PredictionTable,MATCH(K$1,Analysts,0),FALSE),60)</f>
        <v>60</v>
      </c>
      <c r="L90">
        <f>_xlfn.IFNA(VLOOKUP($A90,PredictionTable,MATCH(L$1,Analysts,0),FALSE),60)</f>
        <v>60</v>
      </c>
      <c r="M90">
        <f>_xlfn.IFNA(VLOOKUP($A90,PredictionTable,MATCH(M$1,Analysts,0),FALSE),60)</f>
        <v>60</v>
      </c>
      <c r="N90">
        <f>_xlfn.IFNA(VLOOKUP($A90,PredictionTable,MATCH(N$1,Analysts,0),FALSE),60)</f>
        <v>60</v>
      </c>
      <c r="O90">
        <f>_xlfn.IFNA(VLOOKUP($A90,PredictionTable,MATCH(O$1,Analysts,0),FALSE),60)</f>
        <v>60</v>
      </c>
      <c r="P90">
        <f>_xlfn.IFNA(VLOOKUP($A90,PredictionTable,MATCH(P$1,Analysts,0),FALSE),60)</f>
        <v>60</v>
      </c>
      <c r="V90" s="7" t="s">
        <v>589</v>
      </c>
    </row>
    <row r="91" spans="1:22" x14ac:dyDescent="0.45">
      <c r="A91" s="1" t="s">
        <v>95</v>
      </c>
      <c r="B91" s="1" t="s">
        <v>84</v>
      </c>
      <c r="C91" s="1">
        <f>INDEX(T_Performances,MATCH($A91,T_Names,0))</f>
        <v>11</v>
      </c>
      <c r="D91">
        <v>250.7</v>
      </c>
      <c r="E91" s="1">
        <f>INDEX(T_Avg_PPG,MATCH($A91,T_Names,0))</f>
        <v>15.668749999999999</v>
      </c>
      <c r="F91">
        <f>1+COUNTIFS(T_Total,"&gt;"&amp;D91,T_Pos,$B91)</f>
        <v>8</v>
      </c>
      <c r="G91">
        <f>1+COUNTIFS(T_Avg_PPG,"&gt;"&amp;E91,T_Pos,$B91)</f>
        <v>10</v>
      </c>
      <c r="H91">
        <f>_xlfn.IFNA(VLOOKUP($A91,PredictionTable,MATCH(H$1,Analysts,0),FALSE),60)</f>
        <v>11</v>
      </c>
      <c r="I91">
        <f>_xlfn.IFNA(VLOOKUP($A91,PredictionTable,MATCH(I$1,Analysts,0),FALSE),60)</f>
        <v>13</v>
      </c>
      <c r="J91">
        <f>_xlfn.IFNA(VLOOKUP($A91,PredictionTable,MATCH(J$1,Analysts,0),FALSE),60)</f>
        <v>14</v>
      </c>
      <c r="K91">
        <f>_xlfn.IFNA(VLOOKUP($A91,PredictionTable,MATCH(K$1,Analysts,0),FALSE),60)</f>
        <v>12</v>
      </c>
      <c r="L91">
        <f>_xlfn.IFNA(VLOOKUP($A91,PredictionTable,MATCH(L$1,Analysts,0),FALSE),60)</f>
        <v>12</v>
      </c>
      <c r="M91">
        <f>_xlfn.IFNA(VLOOKUP($A91,PredictionTable,MATCH(M$1,Analysts,0),FALSE),60)</f>
        <v>13</v>
      </c>
      <c r="N91">
        <f>_xlfn.IFNA(VLOOKUP($A91,PredictionTable,MATCH(N$1,Analysts,0),FALSE),60)</f>
        <v>16</v>
      </c>
      <c r="O91">
        <f>_xlfn.IFNA(VLOOKUP($A91,PredictionTable,MATCH(O$1,Analysts,0),FALSE),60)</f>
        <v>12</v>
      </c>
      <c r="P91">
        <f>_xlfn.IFNA(VLOOKUP($A91,PredictionTable,MATCH(P$1,Analysts,0),FALSE),60)</f>
        <v>12.9</v>
      </c>
      <c r="V91" s="7" t="s">
        <v>589</v>
      </c>
    </row>
    <row r="92" spans="1:22" x14ac:dyDescent="0.45">
      <c r="A92" s="1" t="s">
        <v>96</v>
      </c>
      <c r="B92" s="1" t="s">
        <v>84</v>
      </c>
      <c r="C92" s="1">
        <f>INDEX(T_Performances,MATCH($A92,T_Names,0))</f>
        <v>11</v>
      </c>
      <c r="D92">
        <v>230.3</v>
      </c>
      <c r="E92" s="1">
        <f>INDEX(T_Avg_PPG,MATCH($A92,T_Names,0))</f>
        <v>14.393750000000001</v>
      </c>
      <c r="F92">
        <f>1+COUNTIFS(T_Total,"&gt;"&amp;D92,T_Pos,$B92)</f>
        <v>11</v>
      </c>
      <c r="G92">
        <f>1+COUNTIFS(T_Avg_PPG,"&gt;"&amp;E92,T_Pos,$B92)</f>
        <v>14</v>
      </c>
      <c r="H92">
        <f>_xlfn.IFNA(VLOOKUP($A92,PredictionTable,MATCH(H$1,Analysts,0),FALSE),60)</f>
        <v>21</v>
      </c>
      <c r="I92">
        <f>_xlfn.IFNA(VLOOKUP($A92,PredictionTable,MATCH(I$1,Analysts,0),FALSE),60)</f>
        <v>20</v>
      </c>
      <c r="J92">
        <f>_xlfn.IFNA(VLOOKUP($A92,PredictionTable,MATCH(J$1,Analysts,0),FALSE),60)</f>
        <v>20</v>
      </c>
      <c r="K92">
        <f>_xlfn.IFNA(VLOOKUP($A92,PredictionTable,MATCH(K$1,Analysts,0),FALSE),60)</f>
        <v>22</v>
      </c>
      <c r="L92">
        <f>_xlfn.IFNA(VLOOKUP($A92,PredictionTable,MATCH(L$1,Analysts,0),FALSE),60)</f>
        <v>19</v>
      </c>
      <c r="M92">
        <f>_xlfn.IFNA(VLOOKUP($A92,PredictionTable,MATCH(M$1,Analysts,0),FALSE),60)</f>
        <v>20</v>
      </c>
      <c r="N92">
        <f>_xlfn.IFNA(VLOOKUP($A92,PredictionTable,MATCH(N$1,Analysts,0),FALSE),60)</f>
        <v>21</v>
      </c>
      <c r="O92">
        <f>_xlfn.IFNA(VLOOKUP($A92,PredictionTable,MATCH(O$1,Analysts,0),FALSE),60)</f>
        <v>21</v>
      </c>
      <c r="P92">
        <f>_xlfn.IFNA(VLOOKUP($A92,PredictionTable,MATCH(P$1,Analysts,0),FALSE),60)</f>
        <v>20.5</v>
      </c>
      <c r="V92" s="7" t="s">
        <v>589</v>
      </c>
    </row>
    <row r="93" spans="1:22" x14ac:dyDescent="0.45">
      <c r="A93" s="1" t="s">
        <v>97</v>
      </c>
      <c r="B93" s="1" t="s">
        <v>84</v>
      </c>
      <c r="C93" s="1">
        <f>INDEX(T_Performances,MATCH($A93,T_Names,0))</f>
        <v>8</v>
      </c>
      <c r="D93">
        <v>222.5</v>
      </c>
      <c r="E93" s="1">
        <f>INDEX(T_Avg_PPG,MATCH($A93,T_Names,0))</f>
        <v>15.892857142857142</v>
      </c>
      <c r="F93">
        <f>1+COUNTIFS(T_Total,"&gt;"&amp;D93,T_Pos,$B93)</f>
        <v>13</v>
      </c>
      <c r="G93">
        <f>1+COUNTIFS(T_Avg_PPG,"&gt;"&amp;E93,T_Pos,$B93)</f>
        <v>9</v>
      </c>
      <c r="H93">
        <f>_xlfn.IFNA(VLOOKUP($A93,PredictionTable,MATCH(H$1,Analysts,0),FALSE),60)</f>
        <v>13</v>
      </c>
      <c r="I93">
        <f>_xlfn.IFNA(VLOOKUP($A93,PredictionTable,MATCH(I$1,Analysts,0),FALSE),60)</f>
        <v>14</v>
      </c>
      <c r="J93">
        <f>_xlfn.IFNA(VLOOKUP($A93,PredictionTable,MATCH(J$1,Analysts,0),FALSE),60)</f>
        <v>16</v>
      </c>
      <c r="K93">
        <f>_xlfn.IFNA(VLOOKUP($A93,PredictionTable,MATCH(K$1,Analysts,0),FALSE),60)</f>
        <v>15</v>
      </c>
      <c r="L93">
        <f>_xlfn.IFNA(VLOOKUP($A93,PredictionTable,MATCH(L$1,Analysts,0),FALSE),60)</f>
        <v>11</v>
      </c>
      <c r="M93">
        <f>_xlfn.IFNA(VLOOKUP($A93,PredictionTable,MATCH(M$1,Analysts,0),FALSE),60)</f>
        <v>12</v>
      </c>
      <c r="N93">
        <f>_xlfn.IFNA(VLOOKUP($A93,PredictionTable,MATCH(N$1,Analysts,0),FALSE),60)</f>
        <v>13</v>
      </c>
      <c r="O93">
        <f>_xlfn.IFNA(VLOOKUP($A93,PredictionTable,MATCH(O$1,Analysts,0),FALSE),60)</f>
        <v>13</v>
      </c>
      <c r="P93">
        <f>_xlfn.IFNA(VLOOKUP($A93,PredictionTable,MATCH(P$1,Analysts,0),FALSE),60)</f>
        <v>13.4</v>
      </c>
      <c r="V93" s="7" t="s">
        <v>589</v>
      </c>
    </row>
    <row r="94" spans="1:22" x14ac:dyDescent="0.45">
      <c r="A94" s="1" t="s">
        <v>98</v>
      </c>
      <c r="B94" s="1" t="s">
        <v>84</v>
      </c>
      <c r="C94" s="1">
        <f>INDEX(T_Performances,MATCH($A94,T_Names,0))</f>
        <v>11</v>
      </c>
      <c r="D94">
        <v>220.9</v>
      </c>
      <c r="E94" s="1">
        <f>INDEX(T_Avg_PPG,MATCH($A94,T_Names,0))</f>
        <v>12.994117647058824</v>
      </c>
      <c r="F94">
        <f>1+COUNTIFS(T_Total,"&gt;"&amp;D94,T_Pos,$B94)</f>
        <v>14</v>
      </c>
      <c r="G94">
        <f>1+COUNTIFS(T_Avg_PPG,"&gt;"&amp;E94,T_Pos,$B94)</f>
        <v>19</v>
      </c>
      <c r="H94">
        <f>_xlfn.IFNA(VLOOKUP($A94,PredictionTable,MATCH(H$1,Analysts,0),FALSE),60)</f>
        <v>60</v>
      </c>
      <c r="I94">
        <f>_xlfn.IFNA(VLOOKUP($A94,PredictionTable,MATCH(I$1,Analysts,0),FALSE),60)</f>
        <v>60</v>
      </c>
      <c r="J94">
        <f>_xlfn.IFNA(VLOOKUP($A94,PredictionTable,MATCH(J$1,Analysts,0),FALSE),60)</f>
        <v>60</v>
      </c>
      <c r="K94">
        <f>_xlfn.IFNA(VLOOKUP($A94,PredictionTable,MATCH(K$1,Analysts,0),FALSE),60)</f>
        <v>60</v>
      </c>
      <c r="L94">
        <f>_xlfn.IFNA(VLOOKUP($A94,PredictionTable,MATCH(L$1,Analysts,0),FALSE),60)</f>
        <v>60</v>
      </c>
      <c r="M94">
        <f>_xlfn.IFNA(VLOOKUP($A94,PredictionTable,MATCH(M$1,Analysts,0),FALSE),60)</f>
        <v>60</v>
      </c>
      <c r="N94">
        <f>_xlfn.IFNA(VLOOKUP($A94,PredictionTable,MATCH(N$1,Analysts,0),FALSE),60)</f>
        <v>60</v>
      </c>
      <c r="O94">
        <f>_xlfn.IFNA(VLOOKUP($A94,PredictionTable,MATCH(O$1,Analysts,0),FALSE),60)</f>
        <v>60</v>
      </c>
      <c r="P94">
        <f>_xlfn.IFNA(VLOOKUP($A94,PredictionTable,MATCH(P$1,Analysts,0),FALSE),60)</f>
        <v>60</v>
      </c>
      <c r="V94" s="7" t="s">
        <v>589</v>
      </c>
    </row>
    <row r="95" spans="1:22" x14ac:dyDescent="0.45">
      <c r="A95" s="1" t="s">
        <v>99</v>
      </c>
      <c r="B95" s="1" t="s">
        <v>84</v>
      </c>
      <c r="C95" s="1">
        <f>INDEX(T_Performances,MATCH($A95,T_Names,0))</f>
        <v>13</v>
      </c>
      <c r="D95">
        <v>255.1</v>
      </c>
      <c r="E95" s="1">
        <f>INDEX(T_Avg_PPG,MATCH($A95,T_Names,0))</f>
        <v>15.94375</v>
      </c>
      <c r="F95">
        <f>1+COUNTIFS(T_Total,"&gt;"&amp;D95,T_Pos,$B95)</f>
        <v>7</v>
      </c>
      <c r="G95">
        <f>1+COUNTIFS(T_Avg_PPG,"&gt;"&amp;E95,T_Pos,$B95)</f>
        <v>8</v>
      </c>
      <c r="H95">
        <f>_xlfn.IFNA(VLOOKUP($A95,PredictionTable,MATCH(H$1,Analysts,0),FALSE),60)</f>
        <v>7</v>
      </c>
      <c r="I95">
        <f>_xlfn.IFNA(VLOOKUP($A95,PredictionTable,MATCH(I$1,Analysts,0),FALSE),60)</f>
        <v>7</v>
      </c>
      <c r="J95">
        <f>_xlfn.IFNA(VLOOKUP($A95,PredictionTable,MATCH(J$1,Analysts,0),FALSE),60)</f>
        <v>6</v>
      </c>
      <c r="K95">
        <f>_xlfn.IFNA(VLOOKUP($A95,PredictionTable,MATCH(K$1,Analysts,0),FALSE),60)</f>
        <v>7</v>
      </c>
      <c r="L95">
        <f>_xlfn.IFNA(VLOOKUP($A95,PredictionTable,MATCH(L$1,Analysts,0),FALSE),60)</f>
        <v>10</v>
      </c>
      <c r="M95">
        <f>_xlfn.IFNA(VLOOKUP($A95,PredictionTable,MATCH(M$1,Analysts,0),FALSE),60)</f>
        <v>7</v>
      </c>
      <c r="N95">
        <f>_xlfn.IFNA(VLOOKUP($A95,PredictionTable,MATCH(N$1,Analysts,0),FALSE),60)</f>
        <v>8</v>
      </c>
      <c r="O95">
        <f>_xlfn.IFNA(VLOOKUP($A95,PredictionTable,MATCH(O$1,Analysts,0),FALSE),60)</f>
        <v>6</v>
      </c>
      <c r="P95">
        <f>_xlfn.IFNA(VLOOKUP($A95,PredictionTable,MATCH(P$1,Analysts,0),FALSE),60)</f>
        <v>7.3</v>
      </c>
      <c r="V95" s="7" t="s">
        <v>589</v>
      </c>
    </row>
    <row r="96" spans="1:22" x14ac:dyDescent="0.45">
      <c r="A96" s="1" t="s">
        <v>100</v>
      </c>
      <c r="B96" s="1" t="s">
        <v>84</v>
      </c>
      <c r="C96" s="1">
        <f>INDEX(T_Performances,MATCH($A96,T_Names,0))</f>
        <v>10</v>
      </c>
      <c r="D96">
        <v>235.7</v>
      </c>
      <c r="E96" s="1">
        <f>INDEX(T_Avg_PPG,MATCH($A96,T_Names,0))</f>
        <v>16.835714285714285</v>
      </c>
      <c r="F96">
        <f>1+COUNTIFS(T_Total,"&gt;"&amp;D96,T_Pos,$B96)</f>
        <v>9</v>
      </c>
      <c r="G96">
        <f>1+COUNTIFS(T_Avg_PPG,"&gt;"&amp;E96,T_Pos,$B96)</f>
        <v>5</v>
      </c>
      <c r="H96">
        <f>_xlfn.IFNA(VLOOKUP($A96,PredictionTable,MATCH(H$1,Analysts,0),FALSE),60)</f>
        <v>4</v>
      </c>
      <c r="I96">
        <f>_xlfn.IFNA(VLOOKUP($A96,PredictionTable,MATCH(I$1,Analysts,0),FALSE),60)</f>
        <v>4</v>
      </c>
      <c r="J96">
        <f>_xlfn.IFNA(VLOOKUP($A96,PredictionTable,MATCH(J$1,Analysts,0),FALSE),60)</f>
        <v>4</v>
      </c>
      <c r="K96">
        <f>_xlfn.IFNA(VLOOKUP($A96,PredictionTable,MATCH(K$1,Analysts,0),FALSE),60)</f>
        <v>4</v>
      </c>
      <c r="L96">
        <f>_xlfn.IFNA(VLOOKUP($A96,PredictionTable,MATCH(L$1,Analysts,0),FALSE),60)</f>
        <v>4</v>
      </c>
      <c r="M96">
        <f>_xlfn.IFNA(VLOOKUP($A96,PredictionTable,MATCH(M$1,Analysts,0),FALSE),60)</f>
        <v>4</v>
      </c>
      <c r="N96">
        <f>_xlfn.IFNA(VLOOKUP($A96,PredictionTable,MATCH(N$1,Analysts,0),FALSE),60)</f>
        <v>4</v>
      </c>
      <c r="O96">
        <f>_xlfn.IFNA(VLOOKUP($A96,PredictionTable,MATCH(O$1,Analysts,0),FALSE),60)</f>
        <v>4</v>
      </c>
      <c r="P96">
        <f>_xlfn.IFNA(VLOOKUP($A96,PredictionTable,MATCH(P$1,Analysts,0),FALSE),60)</f>
        <v>4</v>
      </c>
      <c r="V96" s="7" t="s">
        <v>589</v>
      </c>
    </row>
    <row r="97" spans="1:22" x14ac:dyDescent="0.45">
      <c r="A97" s="1" t="s">
        <v>101</v>
      </c>
      <c r="B97" s="1" t="s">
        <v>84</v>
      </c>
      <c r="C97" s="1">
        <f>INDEX(T_Performances,MATCH($A97,T_Names,0))</f>
        <v>12</v>
      </c>
      <c r="D97">
        <v>228</v>
      </c>
      <c r="E97" s="1">
        <f>INDEX(T_Avg_PPG,MATCH($A97,T_Names,0))</f>
        <v>14.25</v>
      </c>
      <c r="F97">
        <f>1+COUNTIFS(T_Total,"&gt;"&amp;D97,T_Pos,$B97)</f>
        <v>12</v>
      </c>
      <c r="G97">
        <f>1+COUNTIFS(T_Avg_PPG,"&gt;"&amp;E97,T_Pos,$B97)</f>
        <v>16</v>
      </c>
      <c r="H97">
        <f>_xlfn.IFNA(VLOOKUP($A97,PredictionTable,MATCH(H$1,Analysts,0),FALSE),60)</f>
        <v>37</v>
      </c>
      <c r="I97">
        <f>_xlfn.IFNA(VLOOKUP($A97,PredictionTable,MATCH(I$1,Analysts,0),FALSE),60)</f>
        <v>34</v>
      </c>
      <c r="J97">
        <f>_xlfn.IFNA(VLOOKUP($A97,PredictionTable,MATCH(J$1,Analysts,0),FALSE),60)</f>
        <v>36</v>
      </c>
      <c r="K97">
        <f>_xlfn.IFNA(VLOOKUP($A97,PredictionTable,MATCH(K$1,Analysts,0),FALSE),60)</f>
        <v>37</v>
      </c>
      <c r="L97">
        <f>_xlfn.IFNA(VLOOKUP($A97,PredictionTable,MATCH(L$1,Analysts,0),FALSE),60)</f>
        <v>41</v>
      </c>
      <c r="M97">
        <f>_xlfn.IFNA(VLOOKUP($A97,PredictionTable,MATCH(M$1,Analysts,0),FALSE),60)</f>
        <v>44</v>
      </c>
      <c r="N97">
        <f>_xlfn.IFNA(VLOOKUP($A97,PredictionTable,MATCH(N$1,Analysts,0),FALSE),60)</f>
        <v>34</v>
      </c>
      <c r="O97">
        <f>_xlfn.IFNA(VLOOKUP($A97,PredictionTable,MATCH(O$1,Analysts,0),FALSE),60)</f>
        <v>40</v>
      </c>
      <c r="P97">
        <f>_xlfn.IFNA(VLOOKUP($A97,PredictionTable,MATCH(P$1,Analysts,0),FALSE),60)</f>
        <v>37.9</v>
      </c>
      <c r="V97" s="7" t="s">
        <v>589</v>
      </c>
    </row>
    <row r="98" spans="1:22" x14ac:dyDescent="0.45">
      <c r="A98" s="1" t="s">
        <v>102</v>
      </c>
      <c r="B98" s="1" t="s">
        <v>84</v>
      </c>
      <c r="C98" s="1">
        <f>INDEX(T_Performances,MATCH($A98,T_Names,0))</f>
        <v>10</v>
      </c>
      <c r="D98">
        <v>220.1</v>
      </c>
      <c r="E98" s="1">
        <f>INDEX(T_Avg_PPG,MATCH($A98,T_Names,0))</f>
        <v>14.673333333333334</v>
      </c>
      <c r="F98">
        <f>1+COUNTIFS(T_Total,"&gt;"&amp;D98,T_Pos,$B98)</f>
        <v>15</v>
      </c>
      <c r="G98">
        <f>1+COUNTIFS(T_Avg_PPG,"&gt;"&amp;E98,T_Pos,$B98)</f>
        <v>12</v>
      </c>
      <c r="H98">
        <f>_xlfn.IFNA(VLOOKUP($A98,PredictionTable,MATCH(H$1,Analysts,0),FALSE),60)</f>
        <v>45</v>
      </c>
      <c r="I98">
        <f>_xlfn.IFNA(VLOOKUP($A98,PredictionTable,MATCH(I$1,Analysts,0),FALSE),60)</f>
        <v>39</v>
      </c>
      <c r="J98">
        <f>_xlfn.IFNA(VLOOKUP($A98,PredictionTable,MATCH(J$1,Analysts,0),FALSE),60)</f>
        <v>48</v>
      </c>
      <c r="K98" t="str">
        <f>_xlfn.IFNA(VLOOKUP($A98,PredictionTable,MATCH(K$1,Analysts,0),FALSE),60)</f>
        <v>NR</v>
      </c>
      <c r="L98">
        <f>_xlfn.IFNA(VLOOKUP($A98,PredictionTable,MATCH(L$1,Analysts,0),FALSE),60)</f>
        <v>42</v>
      </c>
      <c r="M98">
        <f>_xlfn.IFNA(VLOOKUP($A98,PredictionTable,MATCH(M$1,Analysts,0),FALSE),60)</f>
        <v>50</v>
      </c>
      <c r="N98" t="str">
        <f>_xlfn.IFNA(VLOOKUP($A98,PredictionTable,MATCH(N$1,Analysts,0),FALSE),60)</f>
        <v>NR</v>
      </c>
      <c r="O98">
        <f>_xlfn.IFNA(VLOOKUP($A98,PredictionTable,MATCH(O$1,Analysts,0),FALSE),60)</f>
        <v>39</v>
      </c>
      <c r="P98">
        <f>_xlfn.IFNA(VLOOKUP($A98,PredictionTable,MATCH(P$1,Analysts,0),FALSE),60)</f>
        <v>45.6</v>
      </c>
      <c r="V98" s="7" t="s">
        <v>589</v>
      </c>
    </row>
    <row r="99" spans="1:22" x14ac:dyDescent="0.45">
      <c r="A99" s="1" t="s">
        <v>103</v>
      </c>
      <c r="B99" s="1" t="s">
        <v>84</v>
      </c>
      <c r="C99" s="1">
        <f>INDEX(T_Performances,MATCH($A99,T_Names,0))</f>
        <v>11</v>
      </c>
      <c r="D99">
        <v>216.1</v>
      </c>
      <c r="E99" s="1">
        <f>INDEX(T_Avg_PPG,MATCH($A99,T_Names,0))</f>
        <v>12.711764705882352</v>
      </c>
      <c r="F99">
        <f>1+COUNTIFS(T_Total,"&gt;"&amp;D99,T_Pos,$B99)</f>
        <v>16</v>
      </c>
      <c r="G99">
        <f>1+COUNTIFS(T_Avg_PPG,"&gt;"&amp;E99,T_Pos,$B99)</f>
        <v>20</v>
      </c>
      <c r="H99">
        <f>_xlfn.IFNA(VLOOKUP($A99,PredictionTable,MATCH(H$1,Analysts,0),FALSE),60)</f>
        <v>18</v>
      </c>
      <c r="I99">
        <f>_xlfn.IFNA(VLOOKUP($A99,PredictionTable,MATCH(I$1,Analysts,0),FALSE),60)</f>
        <v>21</v>
      </c>
      <c r="J99">
        <f>_xlfn.IFNA(VLOOKUP($A99,PredictionTable,MATCH(J$1,Analysts,0),FALSE),60)</f>
        <v>18</v>
      </c>
      <c r="K99">
        <f>_xlfn.IFNA(VLOOKUP($A99,PredictionTable,MATCH(K$1,Analysts,0),FALSE),60)</f>
        <v>21</v>
      </c>
      <c r="L99">
        <f>_xlfn.IFNA(VLOOKUP($A99,PredictionTable,MATCH(L$1,Analysts,0),FALSE),60)</f>
        <v>18</v>
      </c>
      <c r="M99">
        <f>_xlfn.IFNA(VLOOKUP($A99,PredictionTable,MATCH(M$1,Analysts,0),FALSE),60)</f>
        <v>19</v>
      </c>
      <c r="N99">
        <f>_xlfn.IFNA(VLOOKUP($A99,PredictionTable,MATCH(N$1,Analysts,0),FALSE),60)</f>
        <v>18</v>
      </c>
      <c r="O99">
        <f>_xlfn.IFNA(VLOOKUP($A99,PredictionTable,MATCH(O$1,Analysts,0),FALSE),60)</f>
        <v>18</v>
      </c>
      <c r="P99">
        <f>_xlfn.IFNA(VLOOKUP($A99,PredictionTable,MATCH(P$1,Analysts,0),FALSE),60)</f>
        <v>18.899999999999999</v>
      </c>
      <c r="V99" s="7" t="s">
        <v>589</v>
      </c>
    </row>
    <row r="100" spans="1:22" x14ac:dyDescent="0.45">
      <c r="A100" s="1" t="s">
        <v>104</v>
      </c>
      <c r="B100" s="1" t="s">
        <v>84</v>
      </c>
      <c r="C100" s="1">
        <f>INDEX(T_Performances,MATCH($A100,T_Names,0))</f>
        <v>10</v>
      </c>
      <c r="D100">
        <v>212.4</v>
      </c>
      <c r="E100" s="1">
        <f>INDEX(T_Avg_PPG,MATCH($A100,T_Names,0))</f>
        <v>13.275</v>
      </c>
      <c r="F100">
        <f>1+COUNTIFS(T_Total,"&gt;"&amp;D100,T_Pos,$B100)</f>
        <v>17</v>
      </c>
      <c r="G100">
        <f>1+COUNTIFS(T_Avg_PPG,"&gt;"&amp;E100,T_Pos,$B100)</f>
        <v>18</v>
      </c>
      <c r="H100">
        <f>_xlfn.IFNA(VLOOKUP($A100,PredictionTable,MATCH(H$1,Analysts,0),FALSE),60)</f>
        <v>3</v>
      </c>
      <c r="I100">
        <f>_xlfn.IFNA(VLOOKUP($A100,PredictionTable,MATCH(I$1,Analysts,0),FALSE),60)</f>
        <v>2</v>
      </c>
      <c r="J100">
        <f>_xlfn.IFNA(VLOOKUP($A100,PredictionTable,MATCH(J$1,Analysts,0),FALSE),60)</f>
        <v>2</v>
      </c>
      <c r="K100">
        <f>_xlfn.IFNA(VLOOKUP($A100,PredictionTable,MATCH(K$1,Analysts,0),FALSE),60)</f>
        <v>2</v>
      </c>
      <c r="L100">
        <f>_xlfn.IFNA(VLOOKUP($A100,PredictionTable,MATCH(L$1,Analysts,0),FALSE),60)</f>
        <v>2</v>
      </c>
      <c r="M100">
        <f>_xlfn.IFNA(VLOOKUP($A100,PredictionTable,MATCH(M$1,Analysts,0),FALSE),60)</f>
        <v>2</v>
      </c>
      <c r="N100">
        <f>_xlfn.IFNA(VLOOKUP($A100,PredictionTable,MATCH(N$1,Analysts,0),FALSE),60)</f>
        <v>2</v>
      </c>
      <c r="O100">
        <f>_xlfn.IFNA(VLOOKUP($A100,PredictionTable,MATCH(O$1,Analysts,0),FALSE),60)</f>
        <v>2</v>
      </c>
      <c r="P100">
        <f>_xlfn.IFNA(VLOOKUP($A100,PredictionTable,MATCH(P$1,Analysts,0),FALSE),60)</f>
        <v>2.1</v>
      </c>
      <c r="V100" s="7" t="s">
        <v>589</v>
      </c>
    </row>
    <row r="101" spans="1:22" x14ac:dyDescent="0.45">
      <c r="A101" s="1" t="s">
        <v>105</v>
      </c>
      <c r="B101" s="1" t="s">
        <v>84</v>
      </c>
      <c r="C101" s="1">
        <f>INDEX(T_Performances,MATCH($A101,T_Names,0))</f>
        <v>4</v>
      </c>
      <c r="D101">
        <v>125.5</v>
      </c>
      <c r="E101" s="1">
        <f>INDEX(T_Avg_PPG,MATCH($A101,T_Names,0))</f>
        <v>9.6538461538461533</v>
      </c>
      <c r="F101">
        <f>1+COUNTIFS(T_Total,"&gt;"&amp;D101,T_Pos,$B101)</f>
        <v>32</v>
      </c>
      <c r="G101">
        <f>1+COUNTIFS(T_Avg_PPG,"&gt;"&amp;E101,T_Pos,$B101)</f>
        <v>38</v>
      </c>
      <c r="H101">
        <f>_xlfn.IFNA(VLOOKUP($A101,PredictionTable,MATCH(H$1,Analysts,0),FALSE),60)</f>
        <v>60</v>
      </c>
      <c r="I101">
        <f>_xlfn.IFNA(VLOOKUP($A101,PredictionTable,MATCH(I$1,Analysts,0),FALSE),60)</f>
        <v>60</v>
      </c>
      <c r="J101">
        <f>_xlfn.IFNA(VLOOKUP($A101,PredictionTable,MATCH(J$1,Analysts,0),FALSE),60)</f>
        <v>60</v>
      </c>
      <c r="K101">
        <f>_xlfn.IFNA(VLOOKUP($A101,PredictionTable,MATCH(K$1,Analysts,0),FALSE),60)</f>
        <v>60</v>
      </c>
      <c r="L101">
        <f>_xlfn.IFNA(VLOOKUP($A101,PredictionTable,MATCH(L$1,Analysts,0),FALSE),60)</f>
        <v>60</v>
      </c>
      <c r="M101">
        <f>_xlfn.IFNA(VLOOKUP($A101,PredictionTable,MATCH(M$1,Analysts,0),FALSE),60)</f>
        <v>60</v>
      </c>
      <c r="N101">
        <f>_xlfn.IFNA(VLOOKUP($A101,PredictionTable,MATCH(N$1,Analysts,0),FALSE),60)</f>
        <v>60</v>
      </c>
      <c r="O101">
        <f>_xlfn.IFNA(VLOOKUP($A101,PredictionTable,MATCH(O$1,Analysts,0),FALSE),60)</f>
        <v>60</v>
      </c>
      <c r="P101">
        <f>_xlfn.IFNA(VLOOKUP($A101,PredictionTable,MATCH(P$1,Analysts,0),FALSE),60)</f>
        <v>60</v>
      </c>
      <c r="V101" s="7" t="s">
        <v>589</v>
      </c>
    </row>
    <row r="102" spans="1:22" x14ac:dyDescent="0.45">
      <c r="A102" s="1" t="s">
        <v>106</v>
      </c>
      <c r="B102" s="1" t="s">
        <v>84</v>
      </c>
      <c r="C102" s="1">
        <f>INDEX(T_Performances,MATCH($A102,T_Names,0))</f>
        <v>5</v>
      </c>
      <c r="D102">
        <v>105.2</v>
      </c>
      <c r="E102" s="1">
        <f>INDEX(T_Avg_PPG,MATCH($A102,T_Names,0))</f>
        <v>8.7666666666666675</v>
      </c>
      <c r="F102">
        <f>1+COUNTIFS(T_Total,"&gt;"&amp;D102,T_Pos,$B102)</f>
        <v>40</v>
      </c>
      <c r="G102">
        <f>1+COUNTIFS(T_Avg_PPG,"&gt;"&amp;E102,T_Pos,$B102)</f>
        <v>42</v>
      </c>
      <c r="H102">
        <f>_xlfn.IFNA(VLOOKUP($A102,PredictionTable,MATCH(H$1,Analysts,0),FALSE),60)</f>
        <v>60</v>
      </c>
      <c r="I102">
        <f>_xlfn.IFNA(VLOOKUP($A102,PredictionTable,MATCH(I$1,Analysts,0),FALSE),60)</f>
        <v>60</v>
      </c>
      <c r="J102">
        <f>_xlfn.IFNA(VLOOKUP($A102,PredictionTable,MATCH(J$1,Analysts,0),FALSE),60)</f>
        <v>60</v>
      </c>
      <c r="K102">
        <f>_xlfn.IFNA(VLOOKUP($A102,PredictionTable,MATCH(K$1,Analysts,0),FALSE),60)</f>
        <v>60</v>
      </c>
      <c r="L102">
        <f>_xlfn.IFNA(VLOOKUP($A102,PredictionTable,MATCH(L$1,Analysts,0),FALSE),60)</f>
        <v>60</v>
      </c>
      <c r="M102">
        <f>_xlfn.IFNA(VLOOKUP($A102,PredictionTable,MATCH(M$1,Analysts,0),FALSE),60)</f>
        <v>60</v>
      </c>
      <c r="N102">
        <f>_xlfn.IFNA(VLOOKUP($A102,PredictionTable,MATCH(N$1,Analysts,0),FALSE),60)</f>
        <v>60</v>
      </c>
      <c r="O102">
        <f>_xlfn.IFNA(VLOOKUP($A102,PredictionTable,MATCH(O$1,Analysts,0),FALSE),60)</f>
        <v>60</v>
      </c>
      <c r="P102">
        <f>_xlfn.IFNA(VLOOKUP($A102,PredictionTable,MATCH(P$1,Analysts,0),FALSE),60)</f>
        <v>60</v>
      </c>
      <c r="V102" s="7" t="s">
        <v>589</v>
      </c>
    </row>
    <row r="103" spans="1:22" x14ac:dyDescent="0.45">
      <c r="A103" s="1" t="s">
        <v>107</v>
      </c>
      <c r="B103" s="1" t="s">
        <v>84</v>
      </c>
      <c r="C103" s="1">
        <f>INDEX(T_Performances,MATCH($A103,T_Names,0))</f>
        <v>12</v>
      </c>
      <c r="D103">
        <v>203.72</v>
      </c>
      <c r="E103" s="1">
        <f>INDEX(T_Avg_PPG,MATCH($A103,T_Names,0))</f>
        <v>14.551428571428572</v>
      </c>
      <c r="F103">
        <f>1+COUNTIFS(T_Total,"&gt;"&amp;D103,T_Pos,$B103)</f>
        <v>18</v>
      </c>
      <c r="G103">
        <f>1+COUNTIFS(T_Avg_PPG,"&gt;"&amp;E103,T_Pos,$B103)</f>
        <v>13</v>
      </c>
      <c r="H103">
        <f>_xlfn.IFNA(VLOOKUP($A103,PredictionTable,MATCH(H$1,Analysts,0),FALSE),60)</f>
        <v>20</v>
      </c>
      <c r="I103">
        <f>_xlfn.IFNA(VLOOKUP($A103,PredictionTable,MATCH(I$1,Analysts,0),FALSE),60)</f>
        <v>25</v>
      </c>
      <c r="J103">
        <f>_xlfn.IFNA(VLOOKUP($A103,PredictionTable,MATCH(J$1,Analysts,0),FALSE),60)</f>
        <v>21</v>
      </c>
      <c r="K103">
        <f>_xlfn.IFNA(VLOOKUP($A103,PredictionTable,MATCH(K$1,Analysts,0),FALSE),60)</f>
        <v>19</v>
      </c>
      <c r="L103">
        <f>_xlfn.IFNA(VLOOKUP($A103,PredictionTable,MATCH(L$1,Analysts,0),FALSE),60)</f>
        <v>22</v>
      </c>
      <c r="M103">
        <f>_xlfn.IFNA(VLOOKUP($A103,PredictionTable,MATCH(M$1,Analysts,0),FALSE),60)</f>
        <v>21</v>
      </c>
      <c r="N103">
        <f>_xlfn.IFNA(VLOOKUP($A103,PredictionTable,MATCH(N$1,Analysts,0),FALSE),60)</f>
        <v>19</v>
      </c>
      <c r="O103">
        <f>_xlfn.IFNA(VLOOKUP($A103,PredictionTable,MATCH(O$1,Analysts,0),FALSE),60)</f>
        <v>19</v>
      </c>
      <c r="P103">
        <f>_xlfn.IFNA(VLOOKUP($A103,PredictionTable,MATCH(P$1,Analysts,0),FALSE),60)</f>
        <v>20.8</v>
      </c>
      <c r="V103" s="7" t="s">
        <v>589</v>
      </c>
    </row>
    <row r="104" spans="1:22" x14ac:dyDescent="0.45">
      <c r="A104" s="1" t="s">
        <v>108</v>
      </c>
      <c r="B104" s="1" t="s">
        <v>84</v>
      </c>
      <c r="C104" s="1">
        <f>INDEX(T_Performances,MATCH($A104,T_Names,0))</f>
        <v>8</v>
      </c>
      <c r="D104">
        <v>193.5</v>
      </c>
      <c r="E104" s="1">
        <f>INDEX(T_Avg_PPG,MATCH($A104,T_Names,0))</f>
        <v>11.382352941176471</v>
      </c>
      <c r="F104">
        <f>1+COUNTIFS(T_Total,"&gt;"&amp;D104,T_Pos,$B104)</f>
        <v>19</v>
      </c>
      <c r="G104">
        <f>1+COUNTIFS(T_Avg_PPG,"&gt;"&amp;E104,T_Pos,$B104)</f>
        <v>24</v>
      </c>
      <c r="H104">
        <f>_xlfn.IFNA(VLOOKUP($A104,PredictionTable,MATCH(H$1,Analysts,0),FALSE),60)</f>
        <v>22</v>
      </c>
      <c r="I104">
        <f>_xlfn.IFNA(VLOOKUP($A104,PredictionTable,MATCH(I$1,Analysts,0),FALSE),60)</f>
        <v>19</v>
      </c>
      <c r="J104">
        <f>_xlfn.IFNA(VLOOKUP($A104,PredictionTable,MATCH(J$1,Analysts,0),FALSE),60)</f>
        <v>23</v>
      </c>
      <c r="K104">
        <f>_xlfn.IFNA(VLOOKUP($A104,PredictionTable,MATCH(K$1,Analysts,0),FALSE),60)</f>
        <v>23</v>
      </c>
      <c r="L104">
        <f>_xlfn.IFNA(VLOOKUP($A104,PredictionTable,MATCH(L$1,Analysts,0),FALSE),60)</f>
        <v>21</v>
      </c>
      <c r="M104">
        <f>_xlfn.IFNA(VLOOKUP($A104,PredictionTable,MATCH(M$1,Analysts,0),FALSE),60)</f>
        <v>22</v>
      </c>
      <c r="N104">
        <f>_xlfn.IFNA(VLOOKUP($A104,PredictionTable,MATCH(N$1,Analysts,0),FALSE),60)</f>
        <v>23</v>
      </c>
      <c r="O104">
        <f>_xlfn.IFNA(VLOOKUP($A104,PredictionTable,MATCH(O$1,Analysts,0),FALSE),60)</f>
        <v>22</v>
      </c>
      <c r="P104">
        <f>_xlfn.IFNA(VLOOKUP($A104,PredictionTable,MATCH(P$1,Analysts,0),FALSE),60)</f>
        <v>21.9</v>
      </c>
      <c r="V104" s="7" t="s">
        <v>589</v>
      </c>
    </row>
    <row r="105" spans="1:22" x14ac:dyDescent="0.45">
      <c r="A105" s="1" t="s">
        <v>109</v>
      </c>
      <c r="B105" s="1" t="s">
        <v>84</v>
      </c>
      <c r="C105" s="1">
        <f>INDEX(T_Performances,MATCH($A105,T_Names,0))</f>
        <v>8</v>
      </c>
      <c r="D105">
        <v>180.2</v>
      </c>
      <c r="E105" s="1">
        <f>INDEX(T_Avg_PPG,MATCH($A105,T_Names,0))</f>
        <v>11.262499999999999</v>
      </c>
      <c r="F105">
        <f>1+COUNTIFS(T_Total,"&gt;"&amp;D105,T_Pos,$B105)</f>
        <v>21</v>
      </c>
      <c r="G105">
        <f>1+COUNTIFS(T_Avg_PPG,"&gt;"&amp;E105,T_Pos,$B105)</f>
        <v>25</v>
      </c>
      <c r="H105">
        <f>_xlfn.IFNA(VLOOKUP($A105,PredictionTable,MATCH(H$1,Analysts,0),FALSE),60)</f>
        <v>32</v>
      </c>
      <c r="I105">
        <f>_xlfn.IFNA(VLOOKUP($A105,PredictionTable,MATCH(I$1,Analysts,0),FALSE),60)</f>
        <v>29</v>
      </c>
      <c r="J105">
        <f>_xlfn.IFNA(VLOOKUP($A105,PredictionTable,MATCH(J$1,Analysts,0),FALSE),60)</f>
        <v>31</v>
      </c>
      <c r="K105">
        <f>_xlfn.IFNA(VLOOKUP($A105,PredictionTable,MATCH(K$1,Analysts,0),FALSE),60)</f>
        <v>31</v>
      </c>
      <c r="L105">
        <f>_xlfn.IFNA(VLOOKUP($A105,PredictionTable,MATCH(L$1,Analysts,0),FALSE),60)</f>
        <v>34</v>
      </c>
      <c r="M105">
        <f>_xlfn.IFNA(VLOOKUP($A105,PredictionTable,MATCH(M$1,Analysts,0),FALSE),60)</f>
        <v>32</v>
      </c>
      <c r="N105">
        <f>_xlfn.IFNA(VLOOKUP($A105,PredictionTable,MATCH(N$1,Analysts,0),FALSE),60)</f>
        <v>28</v>
      </c>
      <c r="O105">
        <f>_xlfn.IFNA(VLOOKUP($A105,PredictionTable,MATCH(O$1,Analysts,0),FALSE),60)</f>
        <v>33</v>
      </c>
      <c r="P105">
        <f>_xlfn.IFNA(VLOOKUP($A105,PredictionTable,MATCH(P$1,Analysts,0),FALSE),60)</f>
        <v>31.3</v>
      </c>
      <c r="V105" s="7" t="s">
        <v>589</v>
      </c>
    </row>
    <row r="106" spans="1:22" x14ac:dyDescent="0.45">
      <c r="A106" s="1" t="s">
        <v>110</v>
      </c>
      <c r="B106" s="1" t="s">
        <v>84</v>
      </c>
      <c r="C106" s="1">
        <f>INDEX(T_Performances,MATCH($A106,T_Names,0))</f>
        <v>7</v>
      </c>
      <c r="D106">
        <v>175.8</v>
      </c>
      <c r="E106" s="1">
        <f>INDEX(T_Avg_PPG,MATCH($A106,T_Names,0))</f>
        <v>13.523076923076925</v>
      </c>
      <c r="F106">
        <f>1+COUNTIFS(T_Total,"&gt;"&amp;D106,T_Pos,$B106)</f>
        <v>23</v>
      </c>
      <c r="G106">
        <f>1+COUNTIFS(T_Avg_PPG,"&gt;"&amp;E106,T_Pos,$B106)</f>
        <v>17</v>
      </c>
      <c r="H106">
        <f>_xlfn.IFNA(VLOOKUP($A106,PredictionTable,MATCH(H$1,Analysts,0),FALSE),60)</f>
        <v>43</v>
      </c>
      <c r="I106">
        <f>_xlfn.IFNA(VLOOKUP($A106,PredictionTable,MATCH(I$1,Analysts,0),FALSE),60)</f>
        <v>37</v>
      </c>
      <c r="J106">
        <f>_xlfn.IFNA(VLOOKUP($A106,PredictionTable,MATCH(J$1,Analysts,0),FALSE),60)</f>
        <v>43</v>
      </c>
      <c r="K106">
        <f>_xlfn.IFNA(VLOOKUP($A106,PredictionTable,MATCH(K$1,Analysts,0),FALSE),60)</f>
        <v>42</v>
      </c>
      <c r="L106">
        <f>_xlfn.IFNA(VLOOKUP($A106,PredictionTable,MATCH(L$1,Analysts,0),FALSE),60)</f>
        <v>45</v>
      </c>
      <c r="M106">
        <f>_xlfn.IFNA(VLOOKUP($A106,PredictionTable,MATCH(M$1,Analysts,0),FALSE),60)</f>
        <v>39</v>
      </c>
      <c r="N106">
        <f>_xlfn.IFNA(VLOOKUP($A106,PredictionTable,MATCH(N$1,Analysts,0),FALSE),60)</f>
        <v>50</v>
      </c>
      <c r="O106">
        <f>_xlfn.IFNA(VLOOKUP($A106,PredictionTable,MATCH(O$1,Analysts,0),FALSE),60)</f>
        <v>37</v>
      </c>
      <c r="P106">
        <f>_xlfn.IFNA(VLOOKUP($A106,PredictionTable,MATCH(P$1,Analysts,0),FALSE),60)</f>
        <v>42</v>
      </c>
      <c r="V106" s="7" t="s">
        <v>589</v>
      </c>
    </row>
    <row r="107" spans="1:22" x14ac:dyDescent="0.45">
      <c r="A107" s="1" t="s">
        <v>111</v>
      </c>
      <c r="B107" s="1" t="s">
        <v>84</v>
      </c>
      <c r="C107" s="1">
        <f>INDEX(T_Performances,MATCH($A107,T_Names,0))</f>
        <v>8</v>
      </c>
      <c r="D107">
        <v>159.4</v>
      </c>
      <c r="E107" s="1">
        <f>INDEX(T_Avg_PPG,MATCH($A107,T_Names,0))</f>
        <v>12.261538461538462</v>
      </c>
      <c r="F107">
        <f>1+COUNTIFS(T_Total,"&gt;"&amp;D107,T_Pos,$B107)</f>
        <v>27</v>
      </c>
      <c r="G107">
        <f>1+COUNTIFS(T_Avg_PPG,"&gt;"&amp;E107,T_Pos,$B107)</f>
        <v>21</v>
      </c>
      <c r="H107">
        <f>_xlfn.IFNA(VLOOKUP($A107,PredictionTable,MATCH(H$1,Analysts,0),FALSE),60)</f>
        <v>19</v>
      </c>
      <c r="I107">
        <f>_xlfn.IFNA(VLOOKUP($A107,PredictionTable,MATCH(I$1,Analysts,0),FALSE),60)</f>
        <v>18</v>
      </c>
      <c r="J107">
        <f>_xlfn.IFNA(VLOOKUP($A107,PredictionTable,MATCH(J$1,Analysts,0),FALSE),60)</f>
        <v>19</v>
      </c>
      <c r="K107">
        <f>_xlfn.IFNA(VLOOKUP($A107,PredictionTable,MATCH(K$1,Analysts,0),FALSE),60)</f>
        <v>18</v>
      </c>
      <c r="L107">
        <f>_xlfn.IFNA(VLOOKUP($A107,PredictionTable,MATCH(L$1,Analysts,0),FALSE),60)</f>
        <v>20</v>
      </c>
      <c r="M107">
        <f>_xlfn.IFNA(VLOOKUP($A107,PredictionTable,MATCH(M$1,Analysts,0),FALSE),60)</f>
        <v>18</v>
      </c>
      <c r="N107">
        <f>_xlfn.IFNA(VLOOKUP($A107,PredictionTable,MATCH(N$1,Analysts,0),FALSE),60)</f>
        <v>20</v>
      </c>
      <c r="O107">
        <f>_xlfn.IFNA(VLOOKUP($A107,PredictionTable,MATCH(O$1,Analysts,0),FALSE),60)</f>
        <v>20</v>
      </c>
      <c r="P107">
        <f>_xlfn.IFNA(VLOOKUP($A107,PredictionTable,MATCH(P$1,Analysts,0),FALSE),60)</f>
        <v>19</v>
      </c>
      <c r="V107" s="7" t="s">
        <v>589</v>
      </c>
    </row>
    <row r="108" spans="1:22" x14ac:dyDescent="0.45">
      <c r="A108" s="1" t="s">
        <v>112</v>
      </c>
      <c r="B108" s="1" t="s">
        <v>84</v>
      </c>
      <c r="C108" s="1">
        <f>INDEX(T_Performances,MATCH($A108,T_Names,0))</f>
        <v>4</v>
      </c>
      <c r="D108">
        <v>115.5</v>
      </c>
      <c r="E108" s="1">
        <f>INDEX(T_Avg_PPG,MATCH($A108,T_Names,0))</f>
        <v>8.25</v>
      </c>
      <c r="F108">
        <f>1+COUNTIFS(T_Total,"&gt;"&amp;D108,T_Pos,$B108)</f>
        <v>34</v>
      </c>
      <c r="G108">
        <f>1+COUNTIFS(T_Avg_PPG,"&gt;"&amp;E108,T_Pos,$B108)</f>
        <v>44</v>
      </c>
      <c r="H108">
        <f>_xlfn.IFNA(VLOOKUP($A108,PredictionTable,MATCH(H$1,Analysts,0),FALSE),60)</f>
        <v>39</v>
      </c>
      <c r="I108">
        <f>_xlfn.IFNA(VLOOKUP($A108,PredictionTable,MATCH(I$1,Analysts,0),FALSE),60)</f>
        <v>41</v>
      </c>
      <c r="J108">
        <f>_xlfn.IFNA(VLOOKUP($A108,PredictionTable,MATCH(J$1,Analysts,0),FALSE),60)</f>
        <v>41</v>
      </c>
      <c r="K108">
        <f>_xlfn.IFNA(VLOOKUP($A108,PredictionTable,MATCH(K$1,Analysts,0),FALSE),60)</f>
        <v>39</v>
      </c>
      <c r="L108">
        <f>_xlfn.IFNA(VLOOKUP($A108,PredictionTable,MATCH(L$1,Analysts,0),FALSE),60)</f>
        <v>44</v>
      </c>
      <c r="M108">
        <f>_xlfn.IFNA(VLOOKUP($A108,PredictionTable,MATCH(M$1,Analysts,0),FALSE),60)</f>
        <v>38</v>
      </c>
      <c r="N108">
        <f>_xlfn.IFNA(VLOOKUP($A108,PredictionTable,MATCH(N$1,Analysts,0),FALSE),60)</f>
        <v>41</v>
      </c>
      <c r="O108">
        <f>_xlfn.IFNA(VLOOKUP($A108,PredictionTable,MATCH(O$1,Analysts,0),FALSE),60)</f>
        <v>38</v>
      </c>
      <c r="P108">
        <f>_xlfn.IFNA(VLOOKUP($A108,PredictionTable,MATCH(P$1,Analysts,0),FALSE),60)</f>
        <v>40.1</v>
      </c>
      <c r="V108" s="7" t="s">
        <v>589</v>
      </c>
    </row>
    <row r="109" spans="1:22" x14ac:dyDescent="0.45">
      <c r="A109" s="1" t="s">
        <v>113</v>
      </c>
      <c r="B109" s="1" t="s">
        <v>84</v>
      </c>
      <c r="C109" s="1">
        <f>INDEX(T_Performances,MATCH($A109,T_Names,0))</f>
        <v>2</v>
      </c>
      <c r="D109">
        <v>99.7</v>
      </c>
      <c r="E109" s="1">
        <f>INDEX(T_Avg_PPG,MATCH($A109,T_Names,0))</f>
        <v>6.2312500000000002</v>
      </c>
      <c r="F109">
        <f>1+COUNTIFS(T_Total,"&gt;"&amp;D109,T_Pos,$B109)</f>
        <v>42</v>
      </c>
      <c r="G109">
        <f>1+COUNTIFS(T_Avg_PPG,"&gt;"&amp;E109,T_Pos,$B109)</f>
        <v>63</v>
      </c>
      <c r="H109">
        <f>_xlfn.IFNA(VLOOKUP($A109,PredictionTable,MATCH(H$1,Analysts,0),FALSE),60)</f>
        <v>42</v>
      </c>
      <c r="I109">
        <f>_xlfn.IFNA(VLOOKUP($A109,PredictionTable,MATCH(I$1,Analysts,0),FALSE),60)</f>
        <v>43</v>
      </c>
      <c r="J109">
        <f>_xlfn.IFNA(VLOOKUP($A109,PredictionTable,MATCH(J$1,Analysts,0),FALSE),60)</f>
        <v>40</v>
      </c>
      <c r="K109">
        <f>_xlfn.IFNA(VLOOKUP($A109,PredictionTable,MATCH(K$1,Analysts,0),FALSE),60)</f>
        <v>41</v>
      </c>
      <c r="L109">
        <f>_xlfn.IFNA(VLOOKUP($A109,PredictionTable,MATCH(L$1,Analysts,0),FALSE),60)</f>
        <v>38</v>
      </c>
      <c r="M109">
        <f>_xlfn.IFNA(VLOOKUP($A109,PredictionTable,MATCH(M$1,Analysts,0),FALSE),60)</f>
        <v>40</v>
      </c>
      <c r="N109">
        <f>_xlfn.IFNA(VLOOKUP($A109,PredictionTable,MATCH(N$1,Analysts,0),FALSE),60)</f>
        <v>43</v>
      </c>
      <c r="O109">
        <f>_xlfn.IFNA(VLOOKUP($A109,PredictionTable,MATCH(O$1,Analysts,0),FALSE),60)</f>
        <v>41</v>
      </c>
      <c r="P109">
        <f>_xlfn.IFNA(VLOOKUP($A109,PredictionTable,MATCH(P$1,Analysts,0),FALSE),60)</f>
        <v>41</v>
      </c>
      <c r="V109" s="7" t="s">
        <v>589</v>
      </c>
    </row>
    <row r="110" spans="1:22" x14ac:dyDescent="0.45">
      <c r="A110" s="1" t="s">
        <v>114</v>
      </c>
      <c r="B110" s="1" t="s">
        <v>84</v>
      </c>
      <c r="C110" s="1">
        <f>INDEX(T_Performances,MATCH($A110,T_Names,0))</f>
        <v>4</v>
      </c>
      <c r="D110">
        <v>98.6</v>
      </c>
      <c r="E110" s="1">
        <f>INDEX(T_Avg_PPG,MATCH($A110,T_Names,0))</f>
        <v>8.963636363636363</v>
      </c>
      <c r="F110">
        <f>1+COUNTIFS(T_Total,"&gt;"&amp;D110,T_Pos,$B110)</f>
        <v>43</v>
      </c>
      <c r="G110">
        <f>1+COUNTIFS(T_Avg_PPG,"&gt;"&amp;E110,T_Pos,$B110)</f>
        <v>41</v>
      </c>
      <c r="H110">
        <f>_xlfn.IFNA(VLOOKUP($A110,PredictionTable,MATCH(H$1,Analysts,0),FALSE),60)</f>
        <v>26</v>
      </c>
      <c r="I110">
        <f>_xlfn.IFNA(VLOOKUP($A110,PredictionTable,MATCH(I$1,Analysts,0),FALSE),60)</f>
        <v>28</v>
      </c>
      <c r="J110">
        <f>_xlfn.IFNA(VLOOKUP($A110,PredictionTable,MATCH(J$1,Analysts,0),FALSE),60)</f>
        <v>29</v>
      </c>
      <c r="K110">
        <f>_xlfn.IFNA(VLOOKUP($A110,PredictionTable,MATCH(K$1,Analysts,0),FALSE),60)</f>
        <v>25</v>
      </c>
      <c r="L110">
        <f>_xlfn.IFNA(VLOOKUP($A110,PredictionTable,MATCH(L$1,Analysts,0),FALSE),60)</f>
        <v>32</v>
      </c>
      <c r="M110">
        <f>_xlfn.IFNA(VLOOKUP($A110,PredictionTable,MATCH(M$1,Analysts,0),FALSE),60)</f>
        <v>30</v>
      </c>
      <c r="N110">
        <f>_xlfn.IFNA(VLOOKUP($A110,PredictionTable,MATCH(N$1,Analysts,0),FALSE),60)</f>
        <v>30</v>
      </c>
      <c r="O110">
        <f>_xlfn.IFNA(VLOOKUP($A110,PredictionTable,MATCH(O$1,Analysts,0),FALSE),60)</f>
        <v>31</v>
      </c>
      <c r="P110">
        <f>_xlfn.IFNA(VLOOKUP($A110,PredictionTable,MATCH(P$1,Analysts,0),FALSE),60)</f>
        <v>28.9</v>
      </c>
      <c r="V110" s="7" t="s">
        <v>589</v>
      </c>
    </row>
    <row r="111" spans="1:22" x14ac:dyDescent="0.45">
      <c r="A111" s="1" t="s">
        <v>115</v>
      </c>
      <c r="B111" s="1" t="s">
        <v>84</v>
      </c>
      <c r="C111" s="1">
        <f>INDEX(T_Performances,MATCH($A111,T_Names,0))</f>
        <v>8</v>
      </c>
      <c r="D111">
        <v>158.19999999999999</v>
      </c>
      <c r="E111" s="1">
        <f>INDEX(T_Avg_PPG,MATCH($A111,T_Names,0))</f>
        <v>14.381818181818181</v>
      </c>
      <c r="F111">
        <f>1+COUNTIFS(T_Total,"&gt;"&amp;D111,T_Pos,$B111)</f>
        <v>28</v>
      </c>
      <c r="G111">
        <f>1+COUNTIFS(T_Avg_PPG,"&gt;"&amp;E111,T_Pos,$B111)</f>
        <v>15</v>
      </c>
      <c r="H111">
        <f>_xlfn.IFNA(VLOOKUP($A111,PredictionTable,MATCH(H$1,Analysts,0),FALSE),60)</f>
        <v>60</v>
      </c>
      <c r="I111">
        <f>_xlfn.IFNA(VLOOKUP($A111,PredictionTable,MATCH(I$1,Analysts,0),FALSE),60)</f>
        <v>60</v>
      </c>
      <c r="J111">
        <f>_xlfn.IFNA(VLOOKUP($A111,PredictionTable,MATCH(J$1,Analysts,0),FALSE),60)</f>
        <v>60</v>
      </c>
      <c r="K111">
        <f>_xlfn.IFNA(VLOOKUP($A111,PredictionTable,MATCH(K$1,Analysts,0),FALSE),60)</f>
        <v>60</v>
      </c>
      <c r="L111">
        <f>_xlfn.IFNA(VLOOKUP($A111,PredictionTable,MATCH(L$1,Analysts,0),FALSE),60)</f>
        <v>60</v>
      </c>
      <c r="M111">
        <f>_xlfn.IFNA(VLOOKUP($A111,PredictionTable,MATCH(M$1,Analysts,0),FALSE),60)</f>
        <v>60</v>
      </c>
      <c r="N111">
        <f>_xlfn.IFNA(VLOOKUP($A111,PredictionTable,MATCH(N$1,Analysts,0),FALSE),60)</f>
        <v>60</v>
      </c>
      <c r="O111">
        <f>_xlfn.IFNA(VLOOKUP($A111,PredictionTable,MATCH(O$1,Analysts,0),FALSE),60)</f>
        <v>60</v>
      </c>
      <c r="P111">
        <f>_xlfn.IFNA(VLOOKUP($A111,PredictionTable,MATCH(P$1,Analysts,0),FALSE),60)</f>
        <v>60</v>
      </c>
      <c r="V111" s="7" t="s">
        <v>589</v>
      </c>
    </row>
    <row r="112" spans="1:22" x14ac:dyDescent="0.45">
      <c r="A112" s="1" t="s">
        <v>116</v>
      </c>
      <c r="B112" s="1" t="s">
        <v>84</v>
      </c>
      <c r="C112" s="1">
        <f>INDEX(T_Performances,MATCH($A112,T_Names,0))</f>
        <v>3</v>
      </c>
      <c r="D112">
        <v>109.5</v>
      </c>
      <c r="E112" s="1">
        <f>INDEX(T_Avg_PPG,MATCH($A112,T_Names,0))</f>
        <v>9.954545454545455</v>
      </c>
      <c r="F112">
        <f>1+COUNTIFS(T_Total,"&gt;"&amp;D112,T_Pos,$B112)</f>
        <v>37</v>
      </c>
      <c r="G112">
        <f>1+COUNTIFS(T_Avg_PPG,"&gt;"&amp;E112,T_Pos,$B112)</f>
        <v>36</v>
      </c>
      <c r="H112">
        <f>_xlfn.IFNA(VLOOKUP($A112,PredictionTable,MATCH(H$1,Analysts,0),FALSE),60)</f>
        <v>60</v>
      </c>
      <c r="I112">
        <f>_xlfn.IFNA(VLOOKUP($A112,PredictionTable,MATCH(I$1,Analysts,0),FALSE),60)</f>
        <v>60</v>
      </c>
      <c r="J112">
        <f>_xlfn.IFNA(VLOOKUP($A112,PredictionTable,MATCH(J$1,Analysts,0),FALSE),60)</f>
        <v>60</v>
      </c>
      <c r="K112">
        <f>_xlfn.IFNA(VLOOKUP($A112,PredictionTable,MATCH(K$1,Analysts,0),FALSE),60)</f>
        <v>60</v>
      </c>
      <c r="L112">
        <f>_xlfn.IFNA(VLOOKUP($A112,PredictionTable,MATCH(L$1,Analysts,0),FALSE),60)</f>
        <v>60</v>
      </c>
      <c r="M112">
        <f>_xlfn.IFNA(VLOOKUP($A112,PredictionTable,MATCH(M$1,Analysts,0),FALSE),60)</f>
        <v>60</v>
      </c>
      <c r="N112">
        <f>_xlfn.IFNA(VLOOKUP($A112,PredictionTable,MATCH(N$1,Analysts,0),FALSE),60)</f>
        <v>60</v>
      </c>
      <c r="O112">
        <f>_xlfn.IFNA(VLOOKUP($A112,PredictionTable,MATCH(O$1,Analysts,0),FALSE),60)</f>
        <v>60</v>
      </c>
      <c r="P112">
        <f>_xlfn.IFNA(VLOOKUP($A112,PredictionTable,MATCH(P$1,Analysts,0),FALSE),60)</f>
        <v>60</v>
      </c>
      <c r="V112" s="7" t="s">
        <v>589</v>
      </c>
    </row>
    <row r="113" spans="1:22" x14ac:dyDescent="0.45">
      <c r="A113" s="1" t="s">
        <v>117</v>
      </c>
      <c r="B113" s="1" t="s">
        <v>84</v>
      </c>
      <c r="C113" s="1">
        <f>INDEX(T_Performances,MATCH($A113,T_Names,0))</f>
        <v>9</v>
      </c>
      <c r="D113">
        <v>186.6</v>
      </c>
      <c r="E113" s="1">
        <f>INDEX(T_Avg_PPG,MATCH($A113,T_Names,0))</f>
        <v>10.976470588235294</v>
      </c>
      <c r="F113">
        <f>1+COUNTIFS(T_Total,"&gt;"&amp;D113,T_Pos,$B113)</f>
        <v>20</v>
      </c>
      <c r="G113">
        <f>1+COUNTIFS(T_Avg_PPG,"&gt;"&amp;E113,T_Pos,$B113)</f>
        <v>28</v>
      </c>
      <c r="H113">
        <f>_xlfn.IFNA(VLOOKUP($A113,PredictionTable,MATCH(H$1,Analysts,0),FALSE),60)</f>
        <v>28</v>
      </c>
      <c r="I113">
        <f>_xlfn.IFNA(VLOOKUP($A113,PredictionTable,MATCH(I$1,Analysts,0),FALSE),60)</f>
        <v>24</v>
      </c>
      <c r="J113">
        <f>_xlfn.IFNA(VLOOKUP($A113,PredictionTable,MATCH(J$1,Analysts,0),FALSE),60)</f>
        <v>25</v>
      </c>
      <c r="K113">
        <f>_xlfn.IFNA(VLOOKUP($A113,PredictionTable,MATCH(K$1,Analysts,0),FALSE),60)</f>
        <v>28</v>
      </c>
      <c r="L113">
        <f>_xlfn.IFNA(VLOOKUP($A113,PredictionTable,MATCH(L$1,Analysts,0),FALSE),60)</f>
        <v>33</v>
      </c>
      <c r="M113">
        <f>_xlfn.IFNA(VLOOKUP($A113,PredictionTable,MATCH(M$1,Analysts,0),FALSE),60)</f>
        <v>27</v>
      </c>
      <c r="N113">
        <f>_xlfn.IFNA(VLOOKUP($A113,PredictionTable,MATCH(N$1,Analysts,0),FALSE),60)</f>
        <v>26</v>
      </c>
      <c r="O113">
        <f>_xlfn.IFNA(VLOOKUP($A113,PredictionTable,MATCH(O$1,Analysts,0),FALSE),60)</f>
        <v>30</v>
      </c>
      <c r="P113">
        <f>_xlfn.IFNA(VLOOKUP($A113,PredictionTable,MATCH(P$1,Analysts,0),FALSE),60)</f>
        <v>27.6</v>
      </c>
      <c r="V113" s="7" t="s">
        <v>589</v>
      </c>
    </row>
    <row r="114" spans="1:22" x14ac:dyDescent="0.45">
      <c r="A114" s="1" t="s">
        <v>118</v>
      </c>
      <c r="B114" s="1" t="s">
        <v>84</v>
      </c>
      <c r="C114" s="1">
        <f>INDEX(T_Performances,MATCH($A114,T_Names,0))</f>
        <v>7</v>
      </c>
      <c r="D114">
        <v>163.30000000000001</v>
      </c>
      <c r="E114" s="1">
        <f>INDEX(T_Avg_PPG,MATCH($A114,T_Names,0))</f>
        <v>10.206250000000001</v>
      </c>
      <c r="F114">
        <f>1+COUNTIFS(T_Total,"&gt;"&amp;D114,T_Pos,$B114)</f>
        <v>26</v>
      </c>
      <c r="G114">
        <f>1+COUNTIFS(T_Avg_PPG,"&gt;"&amp;E114,T_Pos,$B114)</f>
        <v>32</v>
      </c>
      <c r="H114">
        <f>_xlfn.IFNA(VLOOKUP($A114,PredictionTable,MATCH(H$1,Analysts,0),FALSE),60)</f>
        <v>60</v>
      </c>
      <c r="I114">
        <f>_xlfn.IFNA(VLOOKUP($A114,PredictionTable,MATCH(I$1,Analysts,0),FALSE),60)</f>
        <v>60</v>
      </c>
      <c r="J114">
        <f>_xlfn.IFNA(VLOOKUP($A114,PredictionTable,MATCH(J$1,Analysts,0),FALSE),60)</f>
        <v>60</v>
      </c>
      <c r="K114">
        <f>_xlfn.IFNA(VLOOKUP($A114,PredictionTable,MATCH(K$1,Analysts,0),FALSE),60)</f>
        <v>60</v>
      </c>
      <c r="L114">
        <f>_xlfn.IFNA(VLOOKUP($A114,PredictionTable,MATCH(L$1,Analysts,0),FALSE),60)</f>
        <v>60</v>
      </c>
      <c r="M114">
        <f>_xlfn.IFNA(VLOOKUP($A114,PredictionTable,MATCH(M$1,Analysts,0),FALSE),60)</f>
        <v>60</v>
      </c>
      <c r="N114">
        <f>_xlfn.IFNA(VLOOKUP($A114,PredictionTable,MATCH(N$1,Analysts,0),FALSE),60)</f>
        <v>60</v>
      </c>
      <c r="O114">
        <f>_xlfn.IFNA(VLOOKUP($A114,PredictionTable,MATCH(O$1,Analysts,0),FALSE),60)</f>
        <v>60</v>
      </c>
      <c r="P114">
        <f>_xlfn.IFNA(VLOOKUP($A114,PredictionTable,MATCH(P$1,Analysts,0),FALSE),60)</f>
        <v>60</v>
      </c>
      <c r="V114" s="7" t="s">
        <v>589</v>
      </c>
    </row>
    <row r="115" spans="1:22" x14ac:dyDescent="0.45">
      <c r="A115" s="1" t="s">
        <v>119</v>
      </c>
      <c r="B115" s="1" t="s">
        <v>84</v>
      </c>
      <c r="C115" s="1">
        <f>INDEX(T_Performances,MATCH($A115,T_Names,0))</f>
        <v>9</v>
      </c>
      <c r="D115">
        <v>149.80000000000001</v>
      </c>
      <c r="E115" s="1">
        <f>INDEX(T_Avg_PPG,MATCH($A115,T_Names,0))</f>
        <v>10.700000000000001</v>
      </c>
      <c r="F115">
        <f>1+COUNTIFS(T_Total,"&gt;"&amp;D115,T_Pos,$B115)</f>
        <v>29</v>
      </c>
      <c r="G115">
        <f>1+COUNTIFS(T_Avg_PPG,"&gt;"&amp;E115,T_Pos,$B115)</f>
        <v>29</v>
      </c>
      <c r="H115">
        <f>_xlfn.IFNA(VLOOKUP($A115,PredictionTable,MATCH(H$1,Analysts,0),FALSE),60)</f>
        <v>60</v>
      </c>
      <c r="I115">
        <f>_xlfn.IFNA(VLOOKUP($A115,PredictionTable,MATCH(I$1,Analysts,0),FALSE),60)</f>
        <v>60</v>
      </c>
      <c r="J115">
        <f>_xlfn.IFNA(VLOOKUP($A115,PredictionTable,MATCH(J$1,Analysts,0),FALSE),60)</f>
        <v>60</v>
      </c>
      <c r="K115">
        <f>_xlfn.IFNA(VLOOKUP($A115,PredictionTable,MATCH(K$1,Analysts,0),FALSE),60)</f>
        <v>60</v>
      </c>
      <c r="L115">
        <f>_xlfn.IFNA(VLOOKUP($A115,PredictionTable,MATCH(L$1,Analysts,0),FALSE),60)</f>
        <v>60</v>
      </c>
      <c r="M115">
        <f>_xlfn.IFNA(VLOOKUP($A115,PredictionTable,MATCH(M$1,Analysts,0),FALSE),60)</f>
        <v>60</v>
      </c>
      <c r="N115">
        <f>_xlfn.IFNA(VLOOKUP($A115,PredictionTable,MATCH(N$1,Analysts,0),FALSE),60)</f>
        <v>60</v>
      </c>
      <c r="O115">
        <f>_xlfn.IFNA(VLOOKUP($A115,PredictionTable,MATCH(O$1,Analysts,0),FALSE),60)</f>
        <v>60</v>
      </c>
      <c r="P115">
        <f>_xlfn.IFNA(VLOOKUP($A115,PredictionTable,MATCH(P$1,Analysts,0),FALSE),60)</f>
        <v>60</v>
      </c>
      <c r="V115" s="7" t="s">
        <v>589</v>
      </c>
    </row>
    <row r="116" spans="1:22" x14ac:dyDescent="0.45">
      <c r="A116" s="1" t="s">
        <v>120</v>
      </c>
      <c r="B116" s="1" t="s">
        <v>84</v>
      </c>
      <c r="C116" s="1">
        <f>INDEX(T_Performances,MATCH($A116,T_Names,0))</f>
        <v>7</v>
      </c>
      <c r="D116">
        <v>143.9</v>
      </c>
      <c r="E116" s="1">
        <f>INDEX(T_Avg_PPG,MATCH($A116,T_Names,0))</f>
        <v>11.069230769230769</v>
      </c>
      <c r="F116">
        <f>1+COUNTIFS(T_Total,"&gt;"&amp;D116,T_Pos,$B116)</f>
        <v>30</v>
      </c>
      <c r="G116">
        <f>1+COUNTIFS(T_Avg_PPG,"&gt;"&amp;E116,T_Pos,$B116)</f>
        <v>27</v>
      </c>
      <c r="H116">
        <f>_xlfn.IFNA(VLOOKUP($A116,PredictionTable,MATCH(H$1,Analysts,0),FALSE),60)</f>
        <v>60</v>
      </c>
      <c r="I116">
        <f>_xlfn.IFNA(VLOOKUP($A116,PredictionTable,MATCH(I$1,Analysts,0),FALSE),60)</f>
        <v>60</v>
      </c>
      <c r="J116">
        <f>_xlfn.IFNA(VLOOKUP($A116,PredictionTable,MATCH(J$1,Analysts,0),FALSE),60)</f>
        <v>60</v>
      </c>
      <c r="K116">
        <f>_xlfn.IFNA(VLOOKUP($A116,PredictionTable,MATCH(K$1,Analysts,0),FALSE),60)</f>
        <v>60</v>
      </c>
      <c r="L116">
        <f>_xlfn.IFNA(VLOOKUP($A116,PredictionTable,MATCH(L$1,Analysts,0),FALSE),60)</f>
        <v>60</v>
      </c>
      <c r="M116">
        <f>_xlfn.IFNA(VLOOKUP($A116,PredictionTable,MATCH(M$1,Analysts,0),FALSE),60)</f>
        <v>60</v>
      </c>
      <c r="N116">
        <f>_xlfn.IFNA(VLOOKUP($A116,PredictionTable,MATCH(N$1,Analysts,0),FALSE),60)</f>
        <v>60</v>
      </c>
      <c r="O116">
        <f>_xlfn.IFNA(VLOOKUP($A116,PredictionTable,MATCH(O$1,Analysts,0),FALSE),60)</f>
        <v>60</v>
      </c>
      <c r="P116">
        <f>_xlfn.IFNA(VLOOKUP($A116,PredictionTable,MATCH(P$1,Analysts,0),FALSE),60)</f>
        <v>60</v>
      </c>
      <c r="V116" s="7" t="s">
        <v>589</v>
      </c>
    </row>
    <row r="117" spans="1:22" x14ac:dyDescent="0.45">
      <c r="A117" s="1" t="s">
        <v>121</v>
      </c>
      <c r="B117" s="1" t="s">
        <v>84</v>
      </c>
      <c r="C117" s="1">
        <f>INDEX(T_Performances,MATCH($A117,T_Names,0))</f>
        <v>3</v>
      </c>
      <c r="D117">
        <v>70.400000000000006</v>
      </c>
      <c r="E117" s="1">
        <f>INDEX(T_Avg_PPG,MATCH($A117,T_Names,0))</f>
        <v>10.057142857142859</v>
      </c>
      <c r="F117">
        <f>1+COUNTIFS(T_Total,"&gt;"&amp;D117,T_Pos,$B117)</f>
        <v>52</v>
      </c>
      <c r="G117">
        <f>1+COUNTIFS(T_Avg_PPG,"&gt;"&amp;E117,T_Pos,$B117)</f>
        <v>35</v>
      </c>
      <c r="H117">
        <f>_xlfn.IFNA(VLOOKUP($A117,PredictionTable,MATCH(H$1,Analysts,0),FALSE),60)</f>
        <v>27</v>
      </c>
      <c r="I117">
        <f>_xlfn.IFNA(VLOOKUP($A117,PredictionTable,MATCH(I$1,Analysts,0),FALSE),60)</f>
        <v>35</v>
      </c>
      <c r="J117">
        <f>_xlfn.IFNA(VLOOKUP($A117,PredictionTable,MATCH(J$1,Analysts,0),FALSE),60)</f>
        <v>33</v>
      </c>
      <c r="K117">
        <f>_xlfn.IFNA(VLOOKUP($A117,PredictionTable,MATCH(K$1,Analysts,0),FALSE),60)</f>
        <v>27</v>
      </c>
      <c r="L117">
        <f>_xlfn.IFNA(VLOOKUP($A117,PredictionTable,MATCH(L$1,Analysts,0),FALSE),60)</f>
        <v>24</v>
      </c>
      <c r="M117">
        <f>_xlfn.IFNA(VLOOKUP($A117,PredictionTable,MATCH(M$1,Analysts,0),FALSE),60)</f>
        <v>25</v>
      </c>
      <c r="N117">
        <f>_xlfn.IFNA(VLOOKUP($A117,PredictionTable,MATCH(N$1,Analysts,0),FALSE),60)</f>
        <v>33</v>
      </c>
      <c r="O117">
        <f>_xlfn.IFNA(VLOOKUP($A117,PredictionTable,MATCH(O$1,Analysts,0),FALSE),60)</f>
        <v>24</v>
      </c>
      <c r="P117">
        <f>_xlfn.IFNA(VLOOKUP($A117,PredictionTable,MATCH(P$1,Analysts,0),FALSE),60)</f>
        <v>28.5</v>
      </c>
      <c r="V117" s="7" t="s">
        <v>589</v>
      </c>
    </row>
    <row r="118" spans="1:22" x14ac:dyDescent="0.45">
      <c r="A118" s="1" t="s">
        <v>122</v>
      </c>
      <c r="B118" s="1" t="s">
        <v>84</v>
      </c>
      <c r="C118" s="1">
        <f>INDEX(T_Performances,MATCH($A118,T_Names,0))</f>
        <v>1</v>
      </c>
      <c r="D118">
        <v>62.6</v>
      </c>
      <c r="E118" s="1">
        <f>INDEX(T_Avg_PPG,MATCH($A118,T_Names,0))</f>
        <v>6.26</v>
      </c>
      <c r="F118">
        <f>1+COUNTIFS(T_Total,"&gt;"&amp;D118,T_Pos,$B118)</f>
        <v>57</v>
      </c>
      <c r="G118">
        <f>1+COUNTIFS(T_Avg_PPG,"&gt;"&amp;E118,T_Pos,$B118)</f>
        <v>61</v>
      </c>
      <c r="H118">
        <f>_xlfn.IFNA(VLOOKUP($A118,PredictionTable,MATCH(H$1,Analysts,0),FALSE),60)</f>
        <v>36</v>
      </c>
      <c r="I118">
        <f>_xlfn.IFNA(VLOOKUP($A118,PredictionTable,MATCH(I$1,Analysts,0),FALSE),60)</f>
        <v>38</v>
      </c>
      <c r="J118">
        <f>_xlfn.IFNA(VLOOKUP($A118,PredictionTable,MATCH(J$1,Analysts,0),FALSE),60)</f>
        <v>38</v>
      </c>
      <c r="K118">
        <f>_xlfn.IFNA(VLOOKUP($A118,PredictionTable,MATCH(K$1,Analysts,0),FALSE),60)</f>
        <v>40</v>
      </c>
      <c r="L118">
        <f>_xlfn.IFNA(VLOOKUP($A118,PredictionTable,MATCH(L$1,Analysts,0),FALSE),60)</f>
        <v>37</v>
      </c>
      <c r="M118">
        <f>_xlfn.IFNA(VLOOKUP($A118,PredictionTable,MATCH(M$1,Analysts,0),FALSE),60)</f>
        <v>35</v>
      </c>
      <c r="N118">
        <f>_xlfn.IFNA(VLOOKUP($A118,PredictionTable,MATCH(N$1,Analysts,0),FALSE),60)</f>
        <v>38</v>
      </c>
      <c r="O118">
        <f>_xlfn.IFNA(VLOOKUP($A118,PredictionTable,MATCH(O$1,Analysts,0),FALSE),60)</f>
        <v>36</v>
      </c>
      <c r="P118">
        <f>_xlfn.IFNA(VLOOKUP($A118,PredictionTable,MATCH(P$1,Analysts,0),FALSE),60)</f>
        <v>37.299999999999997</v>
      </c>
      <c r="V118" s="7" t="s">
        <v>589</v>
      </c>
    </row>
    <row r="119" spans="1:22" x14ac:dyDescent="0.45">
      <c r="A119" s="1" t="s">
        <v>123</v>
      </c>
      <c r="B119" s="1" t="s">
        <v>84</v>
      </c>
      <c r="C119" s="1">
        <f>INDEX(T_Performances,MATCH($A119,T_Names,0))</f>
        <v>2</v>
      </c>
      <c r="D119">
        <v>60.8</v>
      </c>
      <c r="E119" s="1">
        <f>INDEX(T_Avg_PPG,MATCH($A119,T_Names,0))</f>
        <v>7.6</v>
      </c>
      <c r="F119">
        <f>1+COUNTIFS(T_Total,"&gt;"&amp;D119,T_Pos,$B119)</f>
        <v>59</v>
      </c>
      <c r="G119">
        <f>1+COUNTIFS(T_Avg_PPG,"&gt;"&amp;E119,T_Pos,$B119)</f>
        <v>51</v>
      </c>
      <c r="H119">
        <f>_xlfn.IFNA(VLOOKUP($A119,PredictionTable,MATCH(H$1,Analysts,0),FALSE),60)</f>
        <v>38</v>
      </c>
      <c r="I119">
        <f>_xlfn.IFNA(VLOOKUP($A119,PredictionTable,MATCH(I$1,Analysts,0),FALSE),60)</f>
        <v>40</v>
      </c>
      <c r="J119">
        <f>_xlfn.IFNA(VLOOKUP($A119,PredictionTable,MATCH(J$1,Analysts,0),FALSE),60)</f>
        <v>37</v>
      </c>
      <c r="K119">
        <f>_xlfn.IFNA(VLOOKUP($A119,PredictionTable,MATCH(K$1,Analysts,0),FALSE),60)</f>
        <v>36</v>
      </c>
      <c r="L119">
        <f>_xlfn.IFNA(VLOOKUP($A119,PredictionTable,MATCH(L$1,Analysts,0),FALSE),60)</f>
        <v>26</v>
      </c>
      <c r="M119">
        <f>_xlfn.IFNA(VLOOKUP($A119,PredictionTable,MATCH(M$1,Analysts,0),FALSE),60)</f>
        <v>37</v>
      </c>
      <c r="N119">
        <f>_xlfn.IFNA(VLOOKUP($A119,PredictionTable,MATCH(N$1,Analysts,0),FALSE),60)</f>
        <v>37</v>
      </c>
      <c r="O119">
        <f>_xlfn.IFNA(VLOOKUP($A119,PredictionTable,MATCH(O$1,Analysts,0),FALSE),60)</f>
        <v>45</v>
      </c>
      <c r="P119">
        <f>_xlfn.IFNA(VLOOKUP($A119,PredictionTable,MATCH(P$1,Analysts,0),FALSE),60)</f>
        <v>37</v>
      </c>
      <c r="V119" s="7" t="s">
        <v>589</v>
      </c>
    </row>
    <row r="120" spans="1:22" x14ac:dyDescent="0.45">
      <c r="A120" s="1" t="s">
        <v>124</v>
      </c>
      <c r="B120" s="1" t="s">
        <v>84</v>
      </c>
      <c r="C120" s="1">
        <f>INDEX(T_Performances,MATCH($A120,T_Names,0))</f>
        <v>0</v>
      </c>
      <c r="D120">
        <v>54.6</v>
      </c>
      <c r="E120" s="1">
        <f>INDEX(T_Avg_PPG,MATCH($A120,T_Names,0))</f>
        <v>3.9</v>
      </c>
      <c r="F120">
        <f>1+COUNTIFS(T_Total,"&gt;"&amp;D120,T_Pos,$B120)</f>
        <v>61</v>
      </c>
      <c r="G120">
        <f>1+COUNTIFS(T_Avg_PPG,"&gt;"&amp;E120,T_Pos,$B120)</f>
        <v>103</v>
      </c>
      <c r="H120">
        <f>_xlfn.IFNA(VLOOKUP($A120,PredictionTable,MATCH(H$1,Analysts,0),FALSE),60)</f>
        <v>60</v>
      </c>
      <c r="I120">
        <f>_xlfn.IFNA(VLOOKUP($A120,PredictionTable,MATCH(I$1,Analysts,0),FALSE),60)</f>
        <v>60</v>
      </c>
      <c r="J120">
        <f>_xlfn.IFNA(VLOOKUP($A120,PredictionTable,MATCH(J$1,Analysts,0),FALSE),60)</f>
        <v>60</v>
      </c>
      <c r="K120">
        <f>_xlfn.IFNA(VLOOKUP($A120,PredictionTable,MATCH(K$1,Analysts,0),FALSE),60)</f>
        <v>60</v>
      </c>
      <c r="L120">
        <f>_xlfn.IFNA(VLOOKUP($A120,PredictionTable,MATCH(L$1,Analysts,0),FALSE),60)</f>
        <v>60</v>
      </c>
      <c r="M120">
        <f>_xlfn.IFNA(VLOOKUP($A120,PredictionTable,MATCH(M$1,Analysts,0),FALSE),60)</f>
        <v>60</v>
      </c>
      <c r="N120">
        <f>_xlfn.IFNA(VLOOKUP($A120,PredictionTable,MATCH(N$1,Analysts,0),FALSE),60)</f>
        <v>60</v>
      </c>
      <c r="O120">
        <f>_xlfn.IFNA(VLOOKUP($A120,PredictionTable,MATCH(O$1,Analysts,0),FALSE),60)</f>
        <v>60</v>
      </c>
      <c r="P120">
        <f>_xlfn.IFNA(VLOOKUP($A120,PredictionTable,MATCH(P$1,Analysts,0),FALSE),60)</f>
        <v>60</v>
      </c>
      <c r="V120" s="7" t="s">
        <v>589</v>
      </c>
    </row>
    <row r="121" spans="1:22" x14ac:dyDescent="0.45">
      <c r="A121" s="1" t="s">
        <v>125</v>
      </c>
      <c r="B121" s="1" t="s">
        <v>84</v>
      </c>
      <c r="C121" s="1">
        <f>INDEX(T_Performances,MATCH($A121,T_Names,0))</f>
        <v>2</v>
      </c>
      <c r="D121">
        <v>50.9</v>
      </c>
      <c r="E121" s="1">
        <f>INDEX(T_Avg_PPG,MATCH($A121,T_Names,0))</f>
        <v>7.2714285714285714</v>
      </c>
      <c r="F121">
        <f>1+COUNTIFS(T_Total,"&gt;"&amp;D121,T_Pos,$B121)</f>
        <v>63</v>
      </c>
      <c r="G121">
        <f>1+COUNTIFS(T_Avg_PPG,"&gt;"&amp;E121,T_Pos,$B121)</f>
        <v>53</v>
      </c>
      <c r="H121">
        <f>_xlfn.IFNA(VLOOKUP($A121,PredictionTable,MATCH(H$1,Analysts,0),FALSE),60)</f>
        <v>10</v>
      </c>
      <c r="I121">
        <f>_xlfn.IFNA(VLOOKUP($A121,PredictionTable,MATCH(I$1,Analysts,0),FALSE),60)</f>
        <v>8</v>
      </c>
      <c r="J121">
        <f>_xlfn.IFNA(VLOOKUP($A121,PredictionTable,MATCH(J$1,Analysts,0),FALSE),60)</f>
        <v>8</v>
      </c>
      <c r="K121">
        <f>_xlfn.IFNA(VLOOKUP($A121,PredictionTable,MATCH(K$1,Analysts,0),FALSE),60)</f>
        <v>9</v>
      </c>
      <c r="L121">
        <f>_xlfn.IFNA(VLOOKUP($A121,PredictionTable,MATCH(L$1,Analysts,0),FALSE),60)</f>
        <v>8</v>
      </c>
      <c r="M121">
        <f>_xlfn.IFNA(VLOOKUP($A121,PredictionTable,MATCH(M$1,Analysts,0),FALSE),60)</f>
        <v>6</v>
      </c>
      <c r="N121">
        <f>_xlfn.IFNA(VLOOKUP($A121,PredictionTable,MATCH(N$1,Analysts,0),FALSE),60)</f>
        <v>10</v>
      </c>
      <c r="O121">
        <f>_xlfn.IFNA(VLOOKUP($A121,PredictionTable,MATCH(O$1,Analysts,0),FALSE),60)</f>
        <v>8</v>
      </c>
      <c r="P121">
        <f>_xlfn.IFNA(VLOOKUP($A121,PredictionTable,MATCH(P$1,Analysts,0),FALSE),60)</f>
        <v>8.4</v>
      </c>
      <c r="V121" s="7" t="s">
        <v>589</v>
      </c>
    </row>
    <row r="122" spans="1:22" x14ac:dyDescent="0.45">
      <c r="A122" s="1" t="s">
        <v>126</v>
      </c>
      <c r="B122" s="1" t="s">
        <v>84</v>
      </c>
      <c r="C122" s="1">
        <f>INDEX(T_Performances,MATCH($A122,T_Names,0))</f>
        <v>1</v>
      </c>
      <c r="D122">
        <v>30.3</v>
      </c>
      <c r="E122" s="1">
        <f>INDEX(T_Avg_PPG,MATCH($A122,T_Names,0))</f>
        <v>10.1</v>
      </c>
      <c r="F122">
        <f>1+COUNTIFS(T_Total,"&gt;"&amp;D122,T_Pos,$B122)</f>
        <v>79</v>
      </c>
      <c r="G122">
        <f>1+COUNTIFS(T_Avg_PPG,"&gt;"&amp;E122,T_Pos,$B122)</f>
        <v>33</v>
      </c>
      <c r="H122">
        <f>_xlfn.IFNA(VLOOKUP($A122,PredictionTable,MATCH(H$1,Analysts,0),FALSE),60)</f>
        <v>60</v>
      </c>
      <c r="I122">
        <f>_xlfn.IFNA(VLOOKUP($A122,PredictionTable,MATCH(I$1,Analysts,0),FALSE),60)</f>
        <v>60</v>
      </c>
      <c r="J122">
        <f>_xlfn.IFNA(VLOOKUP($A122,PredictionTable,MATCH(J$1,Analysts,0),FALSE),60)</f>
        <v>60</v>
      </c>
      <c r="K122">
        <f>_xlfn.IFNA(VLOOKUP($A122,PredictionTable,MATCH(K$1,Analysts,0),FALSE),60)</f>
        <v>60</v>
      </c>
      <c r="L122">
        <f>_xlfn.IFNA(VLOOKUP($A122,PredictionTable,MATCH(L$1,Analysts,0),FALSE),60)</f>
        <v>60</v>
      </c>
      <c r="M122">
        <f>_xlfn.IFNA(VLOOKUP($A122,PredictionTable,MATCH(M$1,Analysts,0),FALSE),60)</f>
        <v>60</v>
      </c>
      <c r="N122">
        <f>_xlfn.IFNA(VLOOKUP($A122,PredictionTable,MATCH(N$1,Analysts,0),FALSE),60)</f>
        <v>60</v>
      </c>
      <c r="O122">
        <f>_xlfn.IFNA(VLOOKUP($A122,PredictionTable,MATCH(O$1,Analysts,0),FALSE),60)</f>
        <v>60</v>
      </c>
      <c r="P122">
        <f>_xlfn.IFNA(VLOOKUP($A122,PredictionTable,MATCH(P$1,Analysts,0),FALSE),60)</f>
        <v>60</v>
      </c>
      <c r="V122" s="7" t="s">
        <v>589</v>
      </c>
    </row>
    <row r="123" spans="1:22" x14ac:dyDescent="0.45">
      <c r="A123" s="1" t="s">
        <v>127</v>
      </c>
      <c r="B123" s="1" t="s">
        <v>84</v>
      </c>
      <c r="C123" s="1">
        <f>INDEX(T_Performances,MATCH($A123,T_Names,0))</f>
        <v>3</v>
      </c>
      <c r="D123">
        <v>131.9</v>
      </c>
      <c r="E123" s="1">
        <f>INDEX(T_Avg_PPG,MATCH($A123,T_Names,0))</f>
        <v>8.2437500000000004</v>
      </c>
      <c r="F123">
        <f>1+COUNTIFS(T_Total,"&gt;"&amp;D123,T_Pos,$B123)</f>
        <v>31</v>
      </c>
      <c r="G123">
        <f>1+COUNTIFS(T_Avg_PPG,"&gt;"&amp;E123,T_Pos,$B123)</f>
        <v>45</v>
      </c>
      <c r="H123">
        <f>_xlfn.IFNA(VLOOKUP($A123,PredictionTable,MATCH(H$1,Analysts,0),FALSE),60)</f>
        <v>29</v>
      </c>
      <c r="I123">
        <f>_xlfn.IFNA(VLOOKUP($A123,PredictionTable,MATCH(I$1,Analysts,0),FALSE),60)</f>
        <v>27</v>
      </c>
      <c r="J123">
        <f>_xlfn.IFNA(VLOOKUP($A123,PredictionTable,MATCH(J$1,Analysts,0),FALSE),60)</f>
        <v>24</v>
      </c>
      <c r="K123">
        <f>_xlfn.IFNA(VLOOKUP($A123,PredictionTable,MATCH(K$1,Analysts,0),FALSE),60)</f>
        <v>30</v>
      </c>
      <c r="L123">
        <f>_xlfn.IFNA(VLOOKUP($A123,PredictionTable,MATCH(L$1,Analysts,0),FALSE),60)</f>
        <v>35</v>
      </c>
      <c r="M123">
        <f>_xlfn.IFNA(VLOOKUP($A123,PredictionTable,MATCH(M$1,Analysts,0),FALSE),60)</f>
        <v>31</v>
      </c>
      <c r="N123">
        <f>_xlfn.IFNA(VLOOKUP($A123,PredictionTable,MATCH(N$1,Analysts,0),FALSE),60)</f>
        <v>32</v>
      </c>
      <c r="O123">
        <f>_xlfn.IFNA(VLOOKUP($A123,PredictionTable,MATCH(O$1,Analysts,0),FALSE),60)</f>
        <v>23</v>
      </c>
      <c r="P123">
        <f>_xlfn.IFNA(VLOOKUP($A123,PredictionTable,MATCH(P$1,Analysts,0),FALSE),60)</f>
        <v>28.9</v>
      </c>
      <c r="V123" s="7" t="s">
        <v>589</v>
      </c>
    </row>
    <row r="124" spans="1:22" x14ac:dyDescent="0.45">
      <c r="A124" s="1" t="s">
        <v>128</v>
      </c>
      <c r="B124" s="1" t="s">
        <v>84</v>
      </c>
      <c r="C124" s="1">
        <f>INDEX(T_Performances,MATCH($A124,T_Names,0))</f>
        <v>5</v>
      </c>
      <c r="D124">
        <v>114.8</v>
      </c>
      <c r="E124" s="1">
        <f>INDEX(T_Avg_PPG,MATCH($A124,T_Names,0))</f>
        <v>9.5666666666666664</v>
      </c>
      <c r="F124">
        <f>1+COUNTIFS(T_Total,"&gt;"&amp;D124,T_Pos,$B124)</f>
        <v>35</v>
      </c>
      <c r="G124">
        <f>1+COUNTIFS(T_Avg_PPG,"&gt;"&amp;E124,T_Pos,$B124)</f>
        <v>40</v>
      </c>
      <c r="H124">
        <f>_xlfn.IFNA(VLOOKUP($A124,PredictionTable,MATCH(H$1,Analysts,0),FALSE),60)</f>
        <v>31</v>
      </c>
      <c r="I124">
        <f>_xlfn.IFNA(VLOOKUP($A124,PredictionTable,MATCH(I$1,Analysts,0),FALSE),60)</f>
        <v>30</v>
      </c>
      <c r="J124">
        <f>_xlfn.IFNA(VLOOKUP($A124,PredictionTable,MATCH(J$1,Analysts,0),FALSE),60)</f>
        <v>35</v>
      </c>
      <c r="K124">
        <f>_xlfn.IFNA(VLOOKUP($A124,PredictionTable,MATCH(K$1,Analysts,0),FALSE),60)</f>
        <v>33</v>
      </c>
      <c r="L124">
        <f>_xlfn.IFNA(VLOOKUP($A124,PredictionTable,MATCH(L$1,Analysts,0),FALSE),60)</f>
        <v>30</v>
      </c>
      <c r="M124">
        <f>_xlfn.IFNA(VLOOKUP($A124,PredictionTable,MATCH(M$1,Analysts,0),FALSE),60)</f>
        <v>28</v>
      </c>
      <c r="N124">
        <f>_xlfn.IFNA(VLOOKUP($A124,PredictionTable,MATCH(N$1,Analysts,0),FALSE),60)</f>
        <v>35</v>
      </c>
      <c r="O124">
        <f>_xlfn.IFNA(VLOOKUP($A124,PredictionTable,MATCH(O$1,Analysts,0),FALSE),60)</f>
        <v>27</v>
      </c>
      <c r="P124">
        <f>_xlfn.IFNA(VLOOKUP($A124,PredictionTable,MATCH(P$1,Analysts,0),FALSE),60)</f>
        <v>31.1</v>
      </c>
      <c r="V124" s="7" t="s">
        <v>589</v>
      </c>
    </row>
    <row r="125" spans="1:22" x14ac:dyDescent="0.45">
      <c r="A125" s="1" t="s">
        <v>129</v>
      </c>
      <c r="B125" s="1" t="s">
        <v>84</v>
      </c>
      <c r="C125" s="1">
        <f>INDEX(T_Performances,MATCH($A125,T_Names,0))</f>
        <v>5</v>
      </c>
      <c r="D125">
        <v>107.6</v>
      </c>
      <c r="E125" s="1">
        <f>INDEX(T_Avg_PPG,MATCH($A125,T_Names,0))</f>
        <v>7.6857142857142851</v>
      </c>
      <c r="F125">
        <f>1+COUNTIFS(T_Total,"&gt;"&amp;D125,T_Pos,$B125)</f>
        <v>38</v>
      </c>
      <c r="G125">
        <f>1+COUNTIFS(T_Avg_PPG,"&gt;"&amp;E125,T_Pos,$B125)</f>
        <v>50</v>
      </c>
      <c r="H125">
        <f>_xlfn.IFNA(VLOOKUP($A125,PredictionTable,MATCH(H$1,Analysts,0),FALSE),60)</f>
        <v>60</v>
      </c>
      <c r="I125">
        <f>_xlfn.IFNA(VLOOKUP($A125,PredictionTable,MATCH(I$1,Analysts,0),FALSE),60)</f>
        <v>60</v>
      </c>
      <c r="J125">
        <f>_xlfn.IFNA(VLOOKUP($A125,PredictionTable,MATCH(J$1,Analysts,0),FALSE),60)</f>
        <v>60</v>
      </c>
      <c r="K125">
        <f>_xlfn.IFNA(VLOOKUP($A125,PredictionTable,MATCH(K$1,Analysts,0),FALSE),60)</f>
        <v>60</v>
      </c>
      <c r="L125">
        <f>_xlfn.IFNA(VLOOKUP($A125,PredictionTable,MATCH(L$1,Analysts,0),FALSE),60)</f>
        <v>60</v>
      </c>
      <c r="M125">
        <f>_xlfn.IFNA(VLOOKUP($A125,PredictionTable,MATCH(M$1,Analysts,0),FALSE),60)</f>
        <v>60</v>
      </c>
      <c r="N125">
        <f>_xlfn.IFNA(VLOOKUP($A125,PredictionTable,MATCH(N$1,Analysts,0),FALSE),60)</f>
        <v>60</v>
      </c>
      <c r="O125">
        <f>_xlfn.IFNA(VLOOKUP($A125,PredictionTable,MATCH(O$1,Analysts,0),FALSE),60)</f>
        <v>60</v>
      </c>
      <c r="P125">
        <f>_xlfn.IFNA(VLOOKUP($A125,PredictionTable,MATCH(P$1,Analysts,0),FALSE),60)</f>
        <v>60</v>
      </c>
      <c r="V125" s="7" t="s">
        <v>589</v>
      </c>
    </row>
    <row r="126" spans="1:22" x14ac:dyDescent="0.45">
      <c r="A126" s="1" t="s">
        <v>130</v>
      </c>
      <c r="B126" s="1" t="s">
        <v>84</v>
      </c>
      <c r="C126" s="1">
        <f>INDEX(T_Performances,MATCH($A126,T_Names,0))</f>
        <v>4</v>
      </c>
      <c r="D126">
        <v>106.1</v>
      </c>
      <c r="E126" s="1">
        <f>INDEX(T_Avg_PPG,MATCH($A126,T_Names,0))</f>
        <v>8.161538461538461</v>
      </c>
      <c r="F126">
        <f>1+COUNTIFS(T_Total,"&gt;"&amp;D126,T_Pos,$B126)</f>
        <v>39</v>
      </c>
      <c r="G126">
        <f>1+COUNTIFS(T_Avg_PPG,"&gt;"&amp;E126,T_Pos,$B126)</f>
        <v>46</v>
      </c>
      <c r="H126">
        <f>_xlfn.IFNA(VLOOKUP($A126,PredictionTable,MATCH(H$1,Analysts,0),FALSE),60)</f>
        <v>60</v>
      </c>
      <c r="I126">
        <f>_xlfn.IFNA(VLOOKUP($A126,PredictionTable,MATCH(I$1,Analysts,0),FALSE),60)</f>
        <v>60</v>
      </c>
      <c r="J126">
        <f>_xlfn.IFNA(VLOOKUP($A126,PredictionTable,MATCH(J$1,Analysts,0),FALSE),60)</f>
        <v>60</v>
      </c>
      <c r="K126">
        <f>_xlfn.IFNA(VLOOKUP($A126,PredictionTable,MATCH(K$1,Analysts,0),FALSE),60)</f>
        <v>60</v>
      </c>
      <c r="L126">
        <f>_xlfn.IFNA(VLOOKUP($A126,PredictionTable,MATCH(L$1,Analysts,0),FALSE),60)</f>
        <v>60</v>
      </c>
      <c r="M126">
        <f>_xlfn.IFNA(VLOOKUP($A126,PredictionTable,MATCH(M$1,Analysts,0),FALSE),60)</f>
        <v>60</v>
      </c>
      <c r="N126">
        <f>_xlfn.IFNA(VLOOKUP($A126,PredictionTable,MATCH(N$1,Analysts,0),FALSE),60)</f>
        <v>60</v>
      </c>
      <c r="O126">
        <f>_xlfn.IFNA(VLOOKUP($A126,PredictionTable,MATCH(O$1,Analysts,0),FALSE),60)</f>
        <v>60</v>
      </c>
      <c r="P126">
        <f>_xlfn.IFNA(VLOOKUP($A126,PredictionTable,MATCH(P$1,Analysts,0),FALSE),60)</f>
        <v>60</v>
      </c>
      <c r="V126" s="7" t="s">
        <v>589</v>
      </c>
    </row>
    <row r="127" spans="1:22" x14ac:dyDescent="0.45">
      <c r="A127" s="1" t="s">
        <v>131</v>
      </c>
      <c r="B127" s="1" t="s">
        <v>84</v>
      </c>
      <c r="C127" s="1">
        <f>INDEX(T_Performances,MATCH($A127,T_Names,0))</f>
        <v>3</v>
      </c>
      <c r="D127">
        <v>86.7</v>
      </c>
      <c r="E127" s="1">
        <f>INDEX(T_Avg_PPG,MATCH($A127,T_Names,0))</f>
        <v>9.6333333333333329</v>
      </c>
      <c r="F127">
        <f>1+COUNTIFS(T_Total,"&gt;"&amp;D127,T_Pos,$B127)</f>
        <v>46</v>
      </c>
      <c r="G127">
        <f>1+COUNTIFS(T_Avg_PPG,"&gt;"&amp;E127,T_Pos,$B127)</f>
        <v>39</v>
      </c>
      <c r="H127">
        <f>_xlfn.IFNA(VLOOKUP($A127,PredictionTable,MATCH(H$1,Analysts,0),FALSE),60)</f>
        <v>60</v>
      </c>
      <c r="I127">
        <f>_xlfn.IFNA(VLOOKUP($A127,PredictionTable,MATCH(I$1,Analysts,0),FALSE),60)</f>
        <v>60</v>
      </c>
      <c r="J127">
        <f>_xlfn.IFNA(VLOOKUP($A127,PredictionTable,MATCH(J$1,Analysts,0),FALSE),60)</f>
        <v>60</v>
      </c>
      <c r="K127">
        <f>_xlfn.IFNA(VLOOKUP($A127,PredictionTable,MATCH(K$1,Analysts,0),FALSE),60)</f>
        <v>60</v>
      </c>
      <c r="L127">
        <f>_xlfn.IFNA(VLOOKUP($A127,PredictionTable,MATCH(L$1,Analysts,0),FALSE),60)</f>
        <v>60</v>
      </c>
      <c r="M127">
        <f>_xlfn.IFNA(VLOOKUP($A127,PredictionTable,MATCH(M$1,Analysts,0),FALSE),60)</f>
        <v>60</v>
      </c>
      <c r="N127">
        <f>_xlfn.IFNA(VLOOKUP($A127,PredictionTable,MATCH(N$1,Analysts,0),FALSE),60)</f>
        <v>60</v>
      </c>
      <c r="O127">
        <f>_xlfn.IFNA(VLOOKUP($A127,PredictionTable,MATCH(O$1,Analysts,0),FALSE),60)</f>
        <v>60</v>
      </c>
      <c r="P127">
        <f>_xlfn.IFNA(VLOOKUP($A127,PredictionTable,MATCH(P$1,Analysts,0),FALSE),60)</f>
        <v>60</v>
      </c>
      <c r="V127" s="7" t="s">
        <v>589</v>
      </c>
    </row>
    <row r="128" spans="1:22" x14ac:dyDescent="0.45">
      <c r="A128" s="1" t="s">
        <v>132</v>
      </c>
      <c r="B128" s="1" t="s">
        <v>84</v>
      </c>
      <c r="C128" s="1">
        <f>INDEX(T_Performances,MATCH($A128,T_Names,0))</f>
        <v>1</v>
      </c>
      <c r="D128">
        <v>67.400000000000006</v>
      </c>
      <c r="E128" s="1">
        <f>INDEX(T_Avg_PPG,MATCH($A128,T_Names,0))</f>
        <v>4.2125000000000004</v>
      </c>
      <c r="F128">
        <f>1+COUNTIFS(T_Total,"&gt;"&amp;D128,T_Pos,$B128)</f>
        <v>54</v>
      </c>
      <c r="G128">
        <f>1+COUNTIFS(T_Avg_PPG,"&gt;"&amp;E128,T_Pos,$B128)</f>
        <v>95</v>
      </c>
      <c r="H128">
        <f>_xlfn.IFNA(VLOOKUP($A128,PredictionTable,MATCH(H$1,Analysts,0),FALSE),60)</f>
        <v>60</v>
      </c>
      <c r="I128">
        <f>_xlfn.IFNA(VLOOKUP($A128,PredictionTable,MATCH(I$1,Analysts,0),FALSE),60)</f>
        <v>60</v>
      </c>
      <c r="J128">
        <f>_xlfn.IFNA(VLOOKUP($A128,PredictionTable,MATCH(J$1,Analysts,0),FALSE),60)</f>
        <v>60</v>
      </c>
      <c r="K128">
        <f>_xlfn.IFNA(VLOOKUP($A128,PredictionTable,MATCH(K$1,Analysts,0),FALSE),60)</f>
        <v>60</v>
      </c>
      <c r="L128">
        <f>_xlfn.IFNA(VLOOKUP($A128,PredictionTable,MATCH(L$1,Analysts,0),FALSE),60)</f>
        <v>60</v>
      </c>
      <c r="M128">
        <f>_xlfn.IFNA(VLOOKUP($A128,PredictionTable,MATCH(M$1,Analysts,0),FALSE),60)</f>
        <v>60</v>
      </c>
      <c r="N128">
        <f>_xlfn.IFNA(VLOOKUP($A128,PredictionTable,MATCH(N$1,Analysts,0),FALSE),60)</f>
        <v>60</v>
      </c>
      <c r="O128">
        <f>_xlfn.IFNA(VLOOKUP($A128,PredictionTable,MATCH(O$1,Analysts,0),FALSE),60)</f>
        <v>60</v>
      </c>
      <c r="P128">
        <f>_xlfn.IFNA(VLOOKUP($A128,PredictionTable,MATCH(P$1,Analysts,0),FALSE),60)</f>
        <v>60</v>
      </c>
      <c r="V128" s="7" t="s">
        <v>589</v>
      </c>
    </row>
    <row r="129" spans="1:22" x14ac:dyDescent="0.45">
      <c r="A129" s="1" t="s">
        <v>133</v>
      </c>
      <c r="B129" s="1" t="s">
        <v>84</v>
      </c>
      <c r="C129" s="1">
        <f>INDEX(T_Performances,MATCH($A129,T_Names,0))</f>
        <v>2</v>
      </c>
      <c r="D129">
        <v>51.5</v>
      </c>
      <c r="E129" s="1">
        <f>INDEX(T_Avg_PPG,MATCH($A129,T_Names,0))</f>
        <v>4.6818181818181817</v>
      </c>
      <c r="F129">
        <f>1+COUNTIFS(T_Total,"&gt;"&amp;D129,T_Pos,$B129)</f>
        <v>62</v>
      </c>
      <c r="G129">
        <f>1+COUNTIFS(T_Avg_PPG,"&gt;"&amp;E129,T_Pos,$B129)</f>
        <v>82</v>
      </c>
      <c r="H129">
        <f>_xlfn.IFNA(VLOOKUP($A129,PredictionTable,MATCH(H$1,Analysts,0),FALSE),60)</f>
        <v>35</v>
      </c>
      <c r="I129">
        <f>_xlfn.IFNA(VLOOKUP($A129,PredictionTable,MATCH(I$1,Analysts,0),FALSE),60)</f>
        <v>33</v>
      </c>
      <c r="J129">
        <f>_xlfn.IFNA(VLOOKUP($A129,PredictionTable,MATCH(J$1,Analysts,0),FALSE),60)</f>
        <v>34</v>
      </c>
      <c r="K129">
        <f>_xlfn.IFNA(VLOOKUP($A129,PredictionTable,MATCH(K$1,Analysts,0),FALSE),60)</f>
        <v>34</v>
      </c>
      <c r="L129">
        <f>_xlfn.IFNA(VLOOKUP($A129,PredictionTable,MATCH(L$1,Analysts,0),FALSE),60)</f>
        <v>27</v>
      </c>
      <c r="M129">
        <f>_xlfn.IFNA(VLOOKUP($A129,PredictionTable,MATCH(M$1,Analysts,0),FALSE),60)</f>
        <v>34</v>
      </c>
      <c r="N129">
        <f>_xlfn.IFNA(VLOOKUP($A129,PredictionTable,MATCH(N$1,Analysts,0),FALSE),60)</f>
        <v>36</v>
      </c>
      <c r="O129">
        <f>_xlfn.IFNA(VLOOKUP($A129,PredictionTable,MATCH(O$1,Analysts,0),FALSE),60)</f>
        <v>35</v>
      </c>
      <c r="P129">
        <f>_xlfn.IFNA(VLOOKUP($A129,PredictionTable,MATCH(P$1,Analysts,0),FALSE),60)</f>
        <v>33.5</v>
      </c>
      <c r="V129" s="7" t="s">
        <v>589</v>
      </c>
    </row>
    <row r="130" spans="1:22" x14ac:dyDescent="0.45">
      <c r="A130" s="1" t="s">
        <v>134</v>
      </c>
      <c r="B130" s="1" t="s">
        <v>84</v>
      </c>
      <c r="C130" s="1">
        <f>INDEX(T_Performances,MATCH($A130,T_Names,0))</f>
        <v>2</v>
      </c>
      <c r="D130">
        <v>46.5</v>
      </c>
      <c r="E130" s="1">
        <f>INDEX(T_Avg_PPG,MATCH($A130,T_Names,0))</f>
        <v>5.166666666666667</v>
      </c>
      <c r="F130">
        <f>1+COUNTIFS(T_Total,"&gt;"&amp;D130,T_Pos,$B130)</f>
        <v>66</v>
      </c>
      <c r="G130">
        <f>1+COUNTIFS(T_Avg_PPG,"&gt;"&amp;E130,T_Pos,$B130)</f>
        <v>78</v>
      </c>
      <c r="H130">
        <f>_xlfn.IFNA(VLOOKUP($A130,PredictionTable,MATCH(H$1,Analysts,0),FALSE),60)</f>
        <v>60</v>
      </c>
      <c r="I130">
        <f>_xlfn.IFNA(VLOOKUP($A130,PredictionTable,MATCH(I$1,Analysts,0),FALSE),60)</f>
        <v>60</v>
      </c>
      <c r="J130">
        <f>_xlfn.IFNA(VLOOKUP($A130,PredictionTable,MATCH(J$1,Analysts,0),FALSE),60)</f>
        <v>60</v>
      </c>
      <c r="K130">
        <f>_xlfn.IFNA(VLOOKUP($A130,PredictionTable,MATCH(K$1,Analysts,0),FALSE),60)</f>
        <v>60</v>
      </c>
      <c r="L130">
        <f>_xlfn.IFNA(VLOOKUP($A130,PredictionTable,MATCH(L$1,Analysts,0),FALSE),60)</f>
        <v>60</v>
      </c>
      <c r="M130">
        <f>_xlfn.IFNA(VLOOKUP($A130,PredictionTable,MATCH(M$1,Analysts,0),FALSE),60)</f>
        <v>60</v>
      </c>
      <c r="N130">
        <f>_xlfn.IFNA(VLOOKUP($A130,PredictionTable,MATCH(N$1,Analysts,0),FALSE),60)</f>
        <v>60</v>
      </c>
      <c r="O130">
        <f>_xlfn.IFNA(VLOOKUP($A130,PredictionTable,MATCH(O$1,Analysts,0),FALSE),60)</f>
        <v>60</v>
      </c>
      <c r="P130">
        <f>_xlfn.IFNA(VLOOKUP($A130,PredictionTable,MATCH(P$1,Analysts,0),FALSE),60)</f>
        <v>60</v>
      </c>
      <c r="V130" s="7" t="s">
        <v>589</v>
      </c>
    </row>
    <row r="131" spans="1:22" x14ac:dyDescent="0.45">
      <c r="A131" s="1" t="s">
        <v>135</v>
      </c>
      <c r="B131" s="1" t="s">
        <v>84</v>
      </c>
      <c r="C131" s="1">
        <f>INDEX(T_Performances,MATCH($A131,T_Names,0))</f>
        <v>1</v>
      </c>
      <c r="D131">
        <v>46.2</v>
      </c>
      <c r="E131" s="1">
        <f>INDEX(T_Avg_PPG,MATCH($A131,T_Names,0))</f>
        <v>4.2</v>
      </c>
      <c r="F131">
        <f>1+COUNTIFS(T_Total,"&gt;"&amp;D131,T_Pos,$B131)</f>
        <v>67</v>
      </c>
      <c r="G131">
        <f>1+COUNTIFS(T_Avg_PPG,"&gt;"&amp;E131,T_Pos,$B131)</f>
        <v>96</v>
      </c>
      <c r="H131">
        <f>_xlfn.IFNA(VLOOKUP($A131,PredictionTable,MATCH(H$1,Analysts,0),FALSE),60)</f>
        <v>60</v>
      </c>
      <c r="I131">
        <f>_xlfn.IFNA(VLOOKUP($A131,PredictionTable,MATCH(I$1,Analysts,0),FALSE),60)</f>
        <v>60</v>
      </c>
      <c r="J131">
        <f>_xlfn.IFNA(VLOOKUP($A131,PredictionTable,MATCH(J$1,Analysts,0),FALSE),60)</f>
        <v>60</v>
      </c>
      <c r="K131">
        <f>_xlfn.IFNA(VLOOKUP($A131,PredictionTable,MATCH(K$1,Analysts,0),FALSE),60)</f>
        <v>60</v>
      </c>
      <c r="L131">
        <f>_xlfn.IFNA(VLOOKUP($A131,PredictionTable,MATCH(L$1,Analysts,0),FALSE),60)</f>
        <v>60</v>
      </c>
      <c r="M131">
        <f>_xlfn.IFNA(VLOOKUP($A131,PredictionTable,MATCH(M$1,Analysts,0),FALSE),60)</f>
        <v>60</v>
      </c>
      <c r="N131">
        <f>_xlfn.IFNA(VLOOKUP($A131,PredictionTable,MATCH(N$1,Analysts,0),FALSE),60)</f>
        <v>60</v>
      </c>
      <c r="O131">
        <f>_xlfn.IFNA(VLOOKUP($A131,PredictionTable,MATCH(O$1,Analysts,0),FALSE),60)</f>
        <v>60</v>
      </c>
      <c r="P131">
        <f>_xlfn.IFNA(VLOOKUP($A131,PredictionTable,MATCH(P$1,Analysts,0),FALSE),60)</f>
        <v>60</v>
      </c>
      <c r="V131" s="7" t="s">
        <v>589</v>
      </c>
    </row>
    <row r="132" spans="1:22" x14ac:dyDescent="0.45">
      <c r="A132" s="1" t="s">
        <v>136</v>
      </c>
      <c r="B132" s="1" t="s">
        <v>84</v>
      </c>
      <c r="C132" s="1">
        <f>INDEX(T_Performances,MATCH($A132,T_Names,0))</f>
        <v>1</v>
      </c>
      <c r="D132">
        <v>44</v>
      </c>
      <c r="E132" s="1">
        <f>INDEX(T_Avg_PPG,MATCH($A132,T_Names,0))</f>
        <v>4.4000000000000004</v>
      </c>
      <c r="F132">
        <f>1+COUNTIFS(T_Total,"&gt;"&amp;D132,T_Pos,$B132)</f>
        <v>69</v>
      </c>
      <c r="G132">
        <f>1+COUNTIFS(T_Avg_PPG,"&gt;"&amp;E132,T_Pos,$B132)</f>
        <v>89</v>
      </c>
      <c r="H132">
        <f>_xlfn.IFNA(VLOOKUP($A132,PredictionTable,MATCH(H$1,Analysts,0),FALSE),60)</f>
        <v>46</v>
      </c>
      <c r="I132">
        <f>_xlfn.IFNA(VLOOKUP($A132,PredictionTable,MATCH(I$1,Analysts,0),FALSE),60)</f>
        <v>45</v>
      </c>
      <c r="J132">
        <f>_xlfn.IFNA(VLOOKUP($A132,PredictionTable,MATCH(J$1,Analysts,0),FALSE),60)</f>
        <v>42</v>
      </c>
      <c r="K132">
        <f>_xlfn.IFNA(VLOOKUP($A132,PredictionTable,MATCH(K$1,Analysts,0),FALSE),60)</f>
        <v>44</v>
      </c>
      <c r="L132">
        <f>_xlfn.IFNA(VLOOKUP($A132,PredictionTable,MATCH(L$1,Analysts,0),FALSE),60)</f>
        <v>47</v>
      </c>
      <c r="M132">
        <f>_xlfn.IFNA(VLOOKUP($A132,PredictionTable,MATCH(M$1,Analysts,0),FALSE),60)</f>
        <v>47</v>
      </c>
      <c r="N132">
        <f>_xlfn.IFNA(VLOOKUP($A132,PredictionTable,MATCH(N$1,Analysts,0),FALSE),60)</f>
        <v>42</v>
      </c>
      <c r="O132">
        <f>_xlfn.IFNA(VLOOKUP($A132,PredictionTable,MATCH(O$1,Analysts,0),FALSE),60)</f>
        <v>47</v>
      </c>
      <c r="P132">
        <f>_xlfn.IFNA(VLOOKUP($A132,PredictionTable,MATCH(P$1,Analysts,0),FALSE),60)</f>
        <v>45</v>
      </c>
      <c r="V132" s="7" t="s">
        <v>589</v>
      </c>
    </row>
    <row r="133" spans="1:22" x14ac:dyDescent="0.45">
      <c r="A133" s="1" t="s">
        <v>137</v>
      </c>
      <c r="B133" s="1" t="s">
        <v>84</v>
      </c>
      <c r="C133" s="1">
        <f>INDEX(T_Performances,MATCH($A133,T_Names,0))</f>
        <v>1</v>
      </c>
      <c r="D133">
        <v>31.3</v>
      </c>
      <c r="E133" s="1">
        <f>INDEX(T_Avg_PPG,MATCH($A133,T_Names,0))</f>
        <v>6.26</v>
      </c>
      <c r="F133">
        <f>1+COUNTIFS(T_Total,"&gt;"&amp;D133,T_Pos,$B133)</f>
        <v>77</v>
      </c>
      <c r="G133">
        <f>1+COUNTIFS(T_Avg_PPG,"&gt;"&amp;E133,T_Pos,$B133)</f>
        <v>61</v>
      </c>
      <c r="H133">
        <f>_xlfn.IFNA(VLOOKUP($A133,PredictionTable,MATCH(H$1,Analysts,0),FALSE),60)</f>
        <v>60</v>
      </c>
      <c r="I133">
        <f>_xlfn.IFNA(VLOOKUP($A133,PredictionTable,MATCH(I$1,Analysts,0),FALSE),60)</f>
        <v>60</v>
      </c>
      <c r="J133">
        <f>_xlfn.IFNA(VLOOKUP($A133,PredictionTable,MATCH(J$1,Analysts,0),FALSE),60)</f>
        <v>60</v>
      </c>
      <c r="K133">
        <f>_xlfn.IFNA(VLOOKUP($A133,PredictionTable,MATCH(K$1,Analysts,0),FALSE),60)</f>
        <v>60</v>
      </c>
      <c r="L133">
        <f>_xlfn.IFNA(VLOOKUP($A133,PredictionTable,MATCH(L$1,Analysts,0),FALSE),60)</f>
        <v>60</v>
      </c>
      <c r="M133">
        <f>_xlfn.IFNA(VLOOKUP($A133,PredictionTable,MATCH(M$1,Analysts,0),FALSE),60)</f>
        <v>60</v>
      </c>
      <c r="N133">
        <f>_xlfn.IFNA(VLOOKUP($A133,PredictionTable,MATCH(N$1,Analysts,0),FALSE),60)</f>
        <v>60</v>
      </c>
      <c r="O133">
        <f>_xlfn.IFNA(VLOOKUP($A133,PredictionTable,MATCH(O$1,Analysts,0),FALSE),60)</f>
        <v>60</v>
      </c>
      <c r="P133">
        <f>_xlfn.IFNA(VLOOKUP($A133,PredictionTable,MATCH(P$1,Analysts,0),FALSE),60)</f>
        <v>60</v>
      </c>
      <c r="V133" s="7" t="s">
        <v>589</v>
      </c>
    </row>
    <row r="134" spans="1:22" x14ac:dyDescent="0.45">
      <c r="A134" s="1" t="s">
        <v>138</v>
      </c>
      <c r="B134" s="1" t="s">
        <v>84</v>
      </c>
      <c r="C134" s="1">
        <f>INDEX(T_Performances,MATCH($A134,T_Names,0))</f>
        <v>1</v>
      </c>
      <c r="D134">
        <v>31</v>
      </c>
      <c r="E134" s="1">
        <f>INDEX(T_Avg_PPG,MATCH($A134,T_Names,0))</f>
        <v>10.333333333333334</v>
      </c>
      <c r="F134">
        <f>1+COUNTIFS(T_Total,"&gt;"&amp;D134,T_Pos,$B134)</f>
        <v>78</v>
      </c>
      <c r="G134">
        <f>1+COUNTIFS(T_Avg_PPG,"&gt;"&amp;E134,T_Pos,$B134)</f>
        <v>31</v>
      </c>
      <c r="H134">
        <f>_xlfn.IFNA(VLOOKUP($A134,PredictionTable,MATCH(H$1,Analysts,0),FALSE),60)</f>
        <v>60</v>
      </c>
      <c r="I134">
        <f>_xlfn.IFNA(VLOOKUP($A134,PredictionTable,MATCH(I$1,Analysts,0),FALSE),60)</f>
        <v>60</v>
      </c>
      <c r="J134">
        <f>_xlfn.IFNA(VLOOKUP($A134,PredictionTable,MATCH(J$1,Analysts,0),FALSE),60)</f>
        <v>60</v>
      </c>
      <c r="K134">
        <f>_xlfn.IFNA(VLOOKUP($A134,PredictionTable,MATCH(K$1,Analysts,0),FALSE),60)</f>
        <v>60</v>
      </c>
      <c r="L134">
        <f>_xlfn.IFNA(VLOOKUP($A134,PredictionTable,MATCH(L$1,Analysts,0),FALSE),60)</f>
        <v>60</v>
      </c>
      <c r="M134">
        <f>_xlfn.IFNA(VLOOKUP($A134,PredictionTable,MATCH(M$1,Analysts,0),FALSE),60)</f>
        <v>60</v>
      </c>
      <c r="N134">
        <f>_xlfn.IFNA(VLOOKUP($A134,PredictionTable,MATCH(N$1,Analysts,0),FALSE),60)</f>
        <v>60</v>
      </c>
      <c r="O134">
        <f>_xlfn.IFNA(VLOOKUP($A134,PredictionTable,MATCH(O$1,Analysts,0),FALSE),60)</f>
        <v>60</v>
      </c>
      <c r="P134">
        <f>_xlfn.IFNA(VLOOKUP($A134,PredictionTable,MATCH(P$1,Analysts,0),FALSE),60)</f>
        <v>60</v>
      </c>
      <c r="V134" s="7" t="s">
        <v>589</v>
      </c>
    </row>
    <row r="135" spans="1:22" x14ac:dyDescent="0.45">
      <c r="A135" s="1" t="s">
        <v>139</v>
      </c>
      <c r="B135" s="1" t="s">
        <v>84</v>
      </c>
      <c r="C135" s="1">
        <f>INDEX(T_Performances,MATCH($A135,T_Names,0))</f>
        <v>0</v>
      </c>
      <c r="D135">
        <v>24.2</v>
      </c>
      <c r="E135" s="1">
        <f>INDEX(T_Avg_PPG,MATCH($A135,T_Names,0))</f>
        <v>6.05</v>
      </c>
      <c r="F135">
        <f>1+COUNTIFS(T_Total,"&gt;"&amp;D135,T_Pos,$B135)</f>
        <v>92</v>
      </c>
      <c r="G135">
        <f>1+COUNTIFS(T_Avg_PPG,"&gt;"&amp;E135,T_Pos,$B135)</f>
        <v>67</v>
      </c>
      <c r="H135">
        <f>_xlfn.IFNA(VLOOKUP($A135,PredictionTable,MATCH(H$1,Analysts,0),FALSE),60)</f>
        <v>60</v>
      </c>
      <c r="I135">
        <f>_xlfn.IFNA(VLOOKUP($A135,PredictionTable,MATCH(I$1,Analysts,0),FALSE),60)</f>
        <v>60</v>
      </c>
      <c r="J135">
        <f>_xlfn.IFNA(VLOOKUP($A135,PredictionTable,MATCH(J$1,Analysts,0),FALSE),60)</f>
        <v>60</v>
      </c>
      <c r="K135">
        <f>_xlfn.IFNA(VLOOKUP($A135,PredictionTable,MATCH(K$1,Analysts,0),FALSE),60)</f>
        <v>60</v>
      </c>
      <c r="L135">
        <f>_xlfn.IFNA(VLOOKUP($A135,PredictionTable,MATCH(L$1,Analysts,0),FALSE),60)</f>
        <v>60</v>
      </c>
      <c r="M135">
        <f>_xlfn.IFNA(VLOOKUP($A135,PredictionTable,MATCH(M$1,Analysts,0),FALSE),60)</f>
        <v>60</v>
      </c>
      <c r="N135">
        <f>_xlfn.IFNA(VLOOKUP($A135,PredictionTable,MATCH(N$1,Analysts,0),FALSE),60)</f>
        <v>60</v>
      </c>
      <c r="O135">
        <f>_xlfn.IFNA(VLOOKUP($A135,PredictionTable,MATCH(O$1,Analysts,0),FALSE),60)</f>
        <v>60</v>
      </c>
      <c r="P135">
        <f>_xlfn.IFNA(VLOOKUP($A135,PredictionTable,MATCH(P$1,Analysts,0),FALSE),60)</f>
        <v>60</v>
      </c>
      <c r="V135" s="7" t="s">
        <v>589</v>
      </c>
    </row>
    <row r="136" spans="1:22" x14ac:dyDescent="0.45">
      <c r="A136" s="1" t="s">
        <v>140</v>
      </c>
      <c r="B136" s="1" t="s">
        <v>84</v>
      </c>
      <c r="C136" s="1">
        <f>INDEX(T_Performances,MATCH($A136,T_Names,0))</f>
        <v>3</v>
      </c>
      <c r="D136">
        <v>90.5</v>
      </c>
      <c r="E136" s="1">
        <f>INDEX(T_Avg_PPG,MATCH($A136,T_Names,0))</f>
        <v>6.4642857142857144</v>
      </c>
      <c r="F136">
        <f>1+COUNTIFS(T_Total,"&gt;"&amp;D136,T_Pos,$B136)</f>
        <v>45</v>
      </c>
      <c r="G136">
        <f>1+COUNTIFS(T_Avg_PPG,"&gt;"&amp;E136,T_Pos,$B136)</f>
        <v>58</v>
      </c>
      <c r="H136">
        <f>_xlfn.IFNA(VLOOKUP($A136,PredictionTable,MATCH(H$1,Analysts,0),FALSE),60)</f>
        <v>60</v>
      </c>
      <c r="I136">
        <f>_xlfn.IFNA(VLOOKUP($A136,PredictionTable,MATCH(I$1,Analysts,0),FALSE),60)</f>
        <v>60</v>
      </c>
      <c r="J136">
        <f>_xlfn.IFNA(VLOOKUP($A136,PredictionTable,MATCH(J$1,Analysts,0),FALSE),60)</f>
        <v>60</v>
      </c>
      <c r="K136">
        <f>_xlfn.IFNA(VLOOKUP($A136,PredictionTable,MATCH(K$1,Analysts,0),FALSE),60)</f>
        <v>60</v>
      </c>
      <c r="L136">
        <f>_xlfn.IFNA(VLOOKUP($A136,PredictionTable,MATCH(L$1,Analysts,0),FALSE),60)</f>
        <v>60</v>
      </c>
      <c r="M136">
        <f>_xlfn.IFNA(VLOOKUP($A136,PredictionTable,MATCH(M$1,Analysts,0),FALSE),60)</f>
        <v>60</v>
      </c>
      <c r="N136">
        <f>_xlfn.IFNA(VLOOKUP($A136,PredictionTable,MATCH(N$1,Analysts,0),FALSE),60)</f>
        <v>60</v>
      </c>
      <c r="O136">
        <f>_xlfn.IFNA(VLOOKUP($A136,PredictionTable,MATCH(O$1,Analysts,0),FALSE),60)</f>
        <v>60</v>
      </c>
      <c r="P136">
        <f>_xlfn.IFNA(VLOOKUP($A136,PredictionTable,MATCH(P$1,Analysts,0),FALSE),60)</f>
        <v>60</v>
      </c>
      <c r="V136" s="7" t="s">
        <v>589</v>
      </c>
    </row>
    <row r="137" spans="1:22" x14ac:dyDescent="0.45">
      <c r="A137" s="1" t="s">
        <v>141</v>
      </c>
      <c r="B137" s="1" t="s">
        <v>84</v>
      </c>
      <c r="C137" s="1">
        <f>INDEX(T_Performances,MATCH($A137,T_Names,0))</f>
        <v>3</v>
      </c>
      <c r="D137">
        <v>86.1</v>
      </c>
      <c r="E137" s="1">
        <f>INDEX(T_Avg_PPG,MATCH($A137,T_Names,0))</f>
        <v>6.1499999999999995</v>
      </c>
      <c r="F137">
        <f>1+COUNTIFS(T_Total,"&gt;"&amp;D137,T_Pos,$B137)</f>
        <v>48</v>
      </c>
      <c r="G137">
        <f>1+COUNTIFS(T_Avg_PPG,"&gt;"&amp;E137,T_Pos,$B137)</f>
        <v>64</v>
      </c>
      <c r="H137">
        <f>_xlfn.IFNA(VLOOKUP($A137,PredictionTable,MATCH(H$1,Analysts,0),FALSE),60)</f>
        <v>33</v>
      </c>
      <c r="I137">
        <f>_xlfn.IFNA(VLOOKUP($A137,PredictionTable,MATCH(I$1,Analysts,0),FALSE),60)</f>
        <v>31</v>
      </c>
      <c r="J137">
        <f>_xlfn.IFNA(VLOOKUP($A137,PredictionTable,MATCH(J$1,Analysts,0),FALSE),60)</f>
        <v>30</v>
      </c>
      <c r="K137">
        <f>_xlfn.IFNA(VLOOKUP($A137,PredictionTable,MATCH(K$1,Analysts,0),FALSE),60)</f>
        <v>32</v>
      </c>
      <c r="L137">
        <f>_xlfn.IFNA(VLOOKUP($A137,PredictionTable,MATCH(L$1,Analysts,0),FALSE),60)</f>
        <v>36</v>
      </c>
      <c r="M137">
        <f>_xlfn.IFNA(VLOOKUP($A137,PredictionTable,MATCH(M$1,Analysts,0),FALSE),60)</f>
        <v>33</v>
      </c>
      <c r="N137">
        <f>_xlfn.IFNA(VLOOKUP($A137,PredictionTable,MATCH(N$1,Analysts,0),FALSE),60)</f>
        <v>29</v>
      </c>
      <c r="O137">
        <f>_xlfn.IFNA(VLOOKUP($A137,PredictionTable,MATCH(O$1,Analysts,0),FALSE),60)</f>
        <v>34</v>
      </c>
      <c r="P137">
        <f>_xlfn.IFNA(VLOOKUP($A137,PredictionTable,MATCH(P$1,Analysts,0),FALSE),60)</f>
        <v>32.299999999999997</v>
      </c>
      <c r="V137" s="7" t="s">
        <v>589</v>
      </c>
    </row>
    <row r="138" spans="1:22" x14ac:dyDescent="0.45">
      <c r="A138" s="1" t="s">
        <v>142</v>
      </c>
      <c r="B138" s="1" t="s">
        <v>84</v>
      </c>
      <c r="C138" s="1">
        <f>INDEX(T_Performances,MATCH($A138,T_Names,0))</f>
        <v>2</v>
      </c>
      <c r="D138">
        <v>75.7</v>
      </c>
      <c r="E138" s="1">
        <f>INDEX(T_Avg_PPG,MATCH($A138,T_Names,0))</f>
        <v>5.8230769230769237</v>
      </c>
      <c r="F138">
        <f>1+COUNTIFS(T_Total,"&gt;"&amp;D138,T_Pos,$B138)</f>
        <v>51</v>
      </c>
      <c r="G138">
        <f>1+COUNTIFS(T_Avg_PPG,"&gt;"&amp;E138,T_Pos,$B138)</f>
        <v>70</v>
      </c>
      <c r="H138">
        <f>_xlfn.IFNA(VLOOKUP($A138,PredictionTable,MATCH(H$1,Analysts,0),FALSE),60)</f>
        <v>60</v>
      </c>
      <c r="I138">
        <f>_xlfn.IFNA(VLOOKUP($A138,PredictionTable,MATCH(I$1,Analysts,0),FALSE),60)</f>
        <v>60</v>
      </c>
      <c r="J138">
        <f>_xlfn.IFNA(VLOOKUP($A138,PredictionTable,MATCH(J$1,Analysts,0),FALSE),60)</f>
        <v>60</v>
      </c>
      <c r="K138">
        <f>_xlfn.IFNA(VLOOKUP($A138,PredictionTable,MATCH(K$1,Analysts,0),FALSE),60)</f>
        <v>60</v>
      </c>
      <c r="L138">
        <f>_xlfn.IFNA(VLOOKUP($A138,PredictionTable,MATCH(L$1,Analysts,0),FALSE),60)</f>
        <v>60</v>
      </c>
      <c r="M138">
        <f>_xlfn.IFNA(VLOOKUP($A138,PredictionTable,MATCH(M$1,Analysts,0),FALSE),60)</f>
        <v>60</v>
      </c>
      <c r="N138">
        <f>_xlfn.IFNA(VLOOKUP($A138,PredictionTable,MATCH(N$1,Analysts,0),FALSE),60)</f>
        <v>60</v>
      </c>
      <c r="O138">
        <f>_xlfn.IFNA(VLOOKUP($A138,PredictionTable,MATCH(O$1,Analysts,0),FALSE),60)</f>
        <v>60</v>
      </c>
      <c r="P138">
        <f>_xlfn.IFNA(VLOOKUP($A138,PredictionTable,MATCH(P$1,Analysts,0),FALSE),60)</f>
        <v>60</v>
      </c>
      <c r="V138" s="7" t="s">
        <v>589</v>
      </c>
    </row>
    <row r="139" spans="1:22" x14ac:dyDescent="0.45">
      <c r="A139" s="1" t="s">
        <v>143</v>
      </c>
      <c r="B139" s="1" t="s">
        <v>84</v>
      </c>
      <c r="C139" s="1">
        <f>INDEX(T_Performances,MATCH($A139,T_Names,0))</f>
        <v>1</v>
      </c>
      <c r="D139">
        <v>65.3</v>
      </c>
      <c r="E139" s="1">
        <f>INDEX(T_Avg_PPG,MATCH($A139,T_Names,0))</f>
        <v>7.2555555555555555</v>
      </c>
      <c r="F139">
        <f>1+COUNTIFS(T_Total,"&gt;"&amp;D139,T_Pos,$B139)</f>
        <v>55</v>
      </c>
      <c r="G139">
        <f>1+COUNTIFS(T_Avg_PPG,"&gt;"&amp;E139,T_Pos,$B139)</f>
        <v>54</v>
      </c>
      <c r="H139">
        <f>_xlfn.IFNA(VLOOKUP($A139,PredictionTable,MATCH(H$1,Analysts,0),FALSE),60)</f>
        <v>60</v>
      </c>
      <c r="I139">
        <f>_xlfn.IFNA(VLOOKUP($A139,PredictionTable,MATCH(I$1,Analysts,0),FALSE),60)</f>
        <v>60</v>
      </c>
      <c r="J139">
        <f>_xlfn.IFNA(VLOOKUP($A139,PredictionTable,MATCH(J$1,Analysts,0),FALSE),60)</f>
        <v>60</v>
      </c>
      <c r="K139">
        <f>_xlfn.IFNA(VLOOKUP($A139,PredictionTable,MATCH(K$1,Analysts,0),FALSE),60)</f>
        <v>60</v>
      </c>
      <c r="L139">
        <f>_xlfn.IFNA(VLOOKUP($A139,PredictionTable,MATCH(L$1,Analysts,0),FALSE),60)</f>
        <v>60</v>
      </c>
      <c r="M139">
        <f>_xlfn.IFNA(VLOOKUP($A139,PredictionTable,MATCH(M$1,Analysts,0),FALSE),60)</f>
        <v>60</v>
      </c>
      <c r="N139">
        <f>_xlfn.IFNA(VLOOKUP($A139,PredictionTable,MATCH(N$1,Analysts,0),FALSE),60)</f>
        <v>60</v>
      </c>
      <c r="O139">
        <f>_xlfn.IFNA(VLOOKUP($A139,PredictionTable,MATCH(O$1,Analysts,0),FALSE),60)</f>
        <v>60</v>
      </c>
      <c r="P139">
        <f>_xlfn.IFNA(VLOOKUP($A139,PredictionTable,MATCH(P$1,Analysts,0),FALSE),60)</f>
        <v>60</v>
      </c>
      <c r="V139" s="7" t="s">
        <v>589</v>
      </c>
    </row>
    <row r="140" spans="1:22" x14ac:dyDescent="0.45">
      <c r="A140" s="1" t="s">
        <v>144</v>
      </c>
      <c r="B140" s="1" t="s">
        <v>84</v>
      </c>
      <c r="C140" s="1">
        <f>INDEX(T_Performances,MATCH($A140,T_Names,0))</f>
        <v>1</v>
      </c>
      <c r="D140">
        <v>64.2</v>
      </c>
      <c r="E140" s="1">
        <f>INDEX(T_Avg_PPG,MATCH($A140,T_Names,0))</f>
        <v>6.42</v>
      </c>
      <c r="F140">
        <f>1+COUNTIFS(T_Total,"&gt;"&amp;D140,T_Pos,$B140)</f>
        <v>56</v>
      </c>
      <c r="G140">
        <f>1+COUNTIFS(T_Avg_PPG,"&gt;"&amp;E140,T_Pos,$B140)</f>
        <v>59</v>
      </c>
      <c r="H140">
        <f>_xlfn.IFNA(VLOOKUP($A140,PredictionTable,MATCH(H$1,Analysts,0),FALSE),60)</f>
        <v>60</v>
      </c>
      <c r="I140">
        <f>_xlfn.IFNA(VLOOKUP($A140,PredictionTable,MATCH(I$1,Analysts,0),FALSE),60)</f>
        <v>60</v>
      </c>
      <c r="J140">
        <f>_xlfn.IFNA(VLOOKUP($A140,PredictionTable,MATCH(J$1,Analysts,0),FALSE),60)</f>
        <v>60</v>
      </c>
      <c r="K140">
        <f>_xlfn.IFNA(VLOOKUP($A140,PredictionTable,MATCH(K$1,Analysts,0),FALSE),60)</f>
        <v>60</v>
      </c>
      <c r="L140">
        <f>_xlfn.IFNA(VLOOKUP($A140,PredictionTable,MATCH(L$1,Analysts,0),FALSE),60)</f>
        <v>60</v>
      </c>
      <c r="M140">
        <f>_xlfn.IFNA(VLOOKUP($A140,PredictionTable,MATCH(M$1,Analysts,0),FALSE),60)</f>
        <v>60</v>
      </c>
      <c r="N140">
        <f>_xlfn.IFNA(VLOOKUP($A140,PredictionTable,MATCH(N$1,Analysts,0),FALSE),60)</f>
        <v>60</v>
      </c>
      <c r="O140">
        <f>_xlfn.IFNA(VLOOKUP($A140,PredictionTable,MATCH(O$1,Analysts,0),FALSE),60)</f>
        <v>60</v>
      </c>
      <c r="P140">
        <f>_xlfn.IFNA(VLOOKUP($A140,PredictionTable,MATCH(P$1,Analysts,0),FALSE),60)</f>
        <v>60</v>
      </c>
      <c r="V140" s="7" t="s">
        <v>589</v>
      </c>
    </row>
    <row r="141" spans="1:22" x14ac:dyDescent="0.45">
      <c r="A141" s="1" t="s">
        <v>145</v>
      </c>
      <c r="B141" s="1" t="s">
        <v>84</v>
      </c>
      <c r="C141" s="1">
        <f>INDEX(T_Performances,MATCH($A141,T_Names,0))</f>
        <v>2</v>
      </c>
      <c r="D141">
        <v>61.4</v>
      </c>
      <c r="E141" s="1">
        <f>INDEX(T_Avg_PPG,MATCH($A141,T_Names,0))</f>
        <v>6.14</v>
      </c>
      <c r="F141">
        <f>1+COUNTIFS(T_Total,"&gt;"&amp;D141,T_Pos,$B141)</f>
        <v>58</v>
      </c>
      <c r="G141">
        <f>1+COUNTIFS(T_Avg_PPG,"&gt;"&amp;E141,T_Pos,$B141)</f>
        <v>65</v>
      </c>
      <c r="H141">
        <f>_xlfn.IFNA(VLOOKUP($A141,PredictionTable,MATCH(H$1,Analysts,0),FALSE),60)</f>
        <v>34</v>
      </c>
      <c r="I141">
        <f>_xlfn.IFNA(VLOOKUP($A141,PredictionTable,MATCH(I$1,Analysts,0),FALSE),60)</f>
        <v>32</v>
      </c>
      <c r="J141">
        <f>_xlfn.IFNA(VLOOKUP($A141,PredictionTable,MATCH(J$1,Analysts,0),FALSE),60)</f>
        <v>32</v>
      </c>
      <c r="K141">
        <f>_xlfn.IFNA(VLOOKUP($A141,PredictionTable,MATCH(K$1,Analysts,0),FALSE),60)</f>
        <v>35</v>
      </c>
      <c r="L141">
        <f>_xlfn.IFNA(VLOOKUP($A141,PredictionTable,MATCH(L$1,Analysts,0),FALSE),60)</f>
        <v>28</v>
      </c>
      <c r="M141">
        <f>_xlfn.IFNA(VLOOKUP($A141,PredictionTable,MATCH(M$1,Analysts,0),FALSE),60)</f>
        <v>36</v>
      </c>
      <c r="N141">
        <f>_xlfn.IFNA(VLOOKUP($A141,PredictionTable,MATCH(N$1,Analysts,0),FALSE),60)</f>
        <v>31</v>
      </c>
      <c r="O141">
        <f>_xlfn.IFNA(VLOOKUP($A141,PredictionTable,MATCH(O$1,Analysts,0),FALSE),60)</f>
        <v>28</v>
      </c>
      <c r="P141">
        <f>_xlfn.IFNA(VLOOKUP($A141,PredictionTable,MATCH(P$1,Analysts,0),FALSE),60)</f>
        <v>32</v>
      </c>
      <c r="V141" s="7" t="s">
        <v>589</v>
      </c>
    </row>
    <row r="142" spans="1:22" x14ac:dyDescent="0.45">
      <c r="A142" s="1" t="s">
        <v>146</v>
      </c>
      <c r="B142" s="1" t="s">
        <v>84</v>
      </c>
      <c r="C142" s="1">
        <f>INDEX(T_Performances,MATCH($A142,T_Names,0))</f>
        <v>2</v>
      </c>
      <c r="D142">
        <v>59.3</v>
      </c>
      <c r="E142" s="1">
        <f>INDEX(T_Avg_PPG,MATCH($A142,T_Names,0))</f>
        <v>5.93</v>
      </c>
      <c r="F142">
        <f>1+COUNTIFS(T_Total,"&gt;"&amp;D142,T_Pos,$B142)</f>
        <v>60</v>
      </c>
      <c r="G142">
        <f>1+COUNTIFS(T_Avg_PPG,"&gt;"&amp;E142,T_Pos,$B142)</f>
        <v>69</v>
      </c>
      <c r="H142">
        <f>_xlfn.IFNA(VLOOKUP($A142,PredictionTable,MATCH(H$1,Analysts,0),FALSE),60)</f>
        <v>60</v>
      </c>
      <c r="I142">
        <f>_xlfn.IFNA(VLOOKUP($A142,PredictionTable,MATCH(I$1,Analysts,0),FALSE),60)</f>
        <v>60</v>
      </c>
      <c r="J142">
        <f>_xlfn.IFNA(VLOOKUP($A142,PredictionTable,MATCH(J$1,Analysts,0),FALSE),60)</f>
        <v>60</v>
      </c>
      <c r="K142">
        <f>_xlfn.IFNA(VLOOKUP($A142,PredictionTable,MATCH(K$1,Analysts,0),FALSE),60)</f>
        <v>60</v>
      </c>
      <c r="L142">
        <f>_xlfn.IFNA(VLOOKUP($A142,PredictionTable,MATCH(L$1,Analysts,0),FALSE),60)</f>
        <v>60</v>
      </c>
      <c r="M142">
        <f>_xlfn.IFNA(VLOOKUP($A142,PredictionTable,MATCH(M$1,Analysts,0),FALSE),60)</f>
        <v>60</v>
      </c>
      <c r="N142">
        <f>_xlfn.IFNA(VLOOKUP($A142,PredictionTable,MATCH(N$1,Analysts,0),FALSE),60)</f>
        <v>60</v>
      </c>
      <c r="O142">
        <f>_xlfn.IFNA(VLOOKUP($A142,PredictionTable,MATCH(O$1,Analysts,0),FALSE),60)</f>
        <v>60</v>
      </c>
      <c r="P142">
        <f>_xlfn.IFNA(VLOOKUP($A142,PredictionTable,MATCH(P$1,Analysts,0),FALSE),60)</f>
        <v>60</v>
      </c>
      <c r="V142" s="7" t="s">
        <v>589</v>
      </c>
    </row>
    <row r="143" spans="1:22" x14ac:dyDescent="0.45">
      <c r="A143" s="1" t="s">
        <v>147</v>
      </c>
      <c r="B143" s="1" t="s">
        <v>84</v>
      </c>
      <c r="C143" s="1">
        <f>INDEX(T_Performances,MATCH($A143,T_Names,0))</f>
        <v>1</v>
      </c>
      <c r="D143">
        <v>45.8</v>
      </c>
      <c r="E143" s="1">
        <f>INDEX(T_Avg_PPG,MATCH($A143,T_Names,0))</f>
        <v>4.58</v>
      </c>
      <c r="F143">
        <f>1+COUNTIFS(T_Total,"&gt;"&amp;D143,T_Pos,$B143)</f>
        <v>68</v>
      </c>
      <c r="G143">
        <f>1+COUNTIFS(T_Avg_PPG,"&gt;"&amp;E143,T_Pos,$B143)</f>
        <v>84</v>
      </c>
      <c r="H143">
        <f>_xlfn.IFNA(VLOOKUP($A143,PredictionTable,MATCH(H$1,Analysts,0),FALSE),60)</f>
        <v>60</v>
      </c>
      <c r="I143">
        <f>_xlfn.IFNA(VLOOKUP($A143,PredictionTable,MATCH(I$1,Analysts,0),FALSE),60)</f>
        <v>60</v>
      </c>
      <c r="J143">
        <f>_xlfn.IFNA(VLOOKUP($A143,PredictionTable,MATCH(J$1,Analysts,0),FALSE),60)</f>
        <v>60</v>
      </c>
      <c r="K143">
        <f>_xlfn.IFNA(VLOOKUP($A143,PredictionTable,MATCH(K$1,Analysts,0),FALSE),60)</f>
        <v>60</v>
      </c>
      <c r="L143">
        <f>_xlfn.IFNA(VLOOKUP($A143,PredictionTable,MATCH(L$1,Analysts,0),FALSE),60)</f>
        <v>60</v>
      </c>
      <c r="M143">
        <f>_xlfn.IFNA(VLOOKUP($A143,PredictionTable,MATCH(M$1,Analysts,0),FALSE),60)</f>
        <v>60</v>
      </c>
      <c r="N143">
        <f>_xlfn.IFNA(VLOOKUP($A143,PredictionTable,MATCH(N$1,Analysts,0),FALSE),60)</f>
        <v>60</v>
      </c>
      <c r="O143">
        <f>_xlfn.IFNA(VLOOKUP($A143,PredictionTable,MATCH(O$1,Analysts,0),FALSE),60)</f>
        <v>60</v>
      </c>
      <c r="P143">
        <f>_xlfn.IFNA(VLOOKUP($A143,PredictionTable,MATCH(P$1,Analysts,0),FALSE),60)</f>
        <v>60</v>
      </c>
      <c r="V143" s="7" t="s">
        <v>589</v>
      </c>
    </row>
    <row r="144" spans="1:22" x14ac:dyDescent="0.45">
      <c r="A144" s="1" t="s">
        <v>148</v>
      </c>
      <c r="B144" s="1" t="s">
        <v>84</v>
      </c>
      <c r="C144" s="1">
        <f>INDEX(T_Performances,MATCH($A144,T_Names,0))</f>
        <v>2</v>
      </c>
      <c r="D144">
        <v>42.5</v>
      </c>
      <c r="E144" s="1">
        <f>INDEX(T_Avg_PPG,MATCH($A144,T_Names,0))</f>
        <v>10.625</v>
      </c>
      <c r="F144">
        <f>1+COUNTIFS(T_Total,"&gt;"&amp;D144,T_Pos,$B144)</f>
        <v>70</v>
      </c>
      <c r="G144">
        <f>1+COUNTIFS(T_Avg_PPG,"&gt;"&amp;E144,T_Pos,$B144)</f>
        <v>30</v>
      </c>
      <c r="H144">
        <f>_xlfn.IFNA(VLOOKUP($A144,PredictionTable,MATCH(H$1,Analysts,0),FALSE),60)</f>
        <v>60</v>
      </c>
      <c r="I144">
        <f>_xlfn.IFNA(VLOOKUP($A144,PredictionTable,MATCH(I$1,Analysts,0),FALSE),60)</f>
        <v>60</v>
      </c>
      <c r="J144">
        <f>_xlfn.IFNA(VLOOKUP($A144,PredictionTable,MATCH(J$1,Analysts,0),FALSE),60)</f>
        <v>60</v>
      </c>
      <c r="K144">
        <f>_xlfn.IFNA(VLOOKUP($A144,PredictionTable,MATCH(K$1,Analysts,0),FALSE),60)</f>
        <v>60</v>
      </c>
      <c r="L144">
        <f>_xlfn.IFNA(VLOOKUP($A144,PredictionTable,MATCH(L$1,Analysts,0),FALSE),60)</f>
        <v>60</v>
      </c>
      <c r="M144">
        <f>_xlfn.IFNA(VLOOKUP($A144,PredictionTable,MATCH(M$1,Analysts,0),FALSE),60)</f>
        <v>60</v>
      </c>
      <c r="N144">
        <f>_xlfn.IFNA(VLOOKUP($A144,PredictionTable,MATCH(N$1,Analysts,0),FALSE),60)</f>
        <v>60</v>
      </c>
      <c r="O144">
        <f>_xlfn.IFNA(VLOOKUP($A144,PredictionTable,MATCH(O$1,Analysts,0),FALSE),60)</f>
        <v>60</v>
      </c>
      <c r="P144">
        <f>_xlfn.IFNA(VLOOKUP($A144,PredictionTable,MATCH(P$1,Analysts,0),FALSE),60)</f>
        <v>60</v>
      </c>
      <c r="V144" s="7" t="s">
        <v>589</v>
      </c>
    </row>
    <row r="145" spans="1:22" x14ac:dyDescent="0.45">
      <c r="A145" s="1" t="s">
        <v>149</v>
      </c>
      <c r="B145" s="1" t="s">
        <v>84</v>
      </c>
      <c r="C145" s="1">
        <f>INDEX(T_Performances,MATCH($A145,T_Names,0))</f>
        <v>1</v>
      </c>
      <c r="D145">
        <v>32.6</v>
      </c>
      <c r="E145" s="1">
        <f>INDEX(T_Avg_PPG,MATCH($A145,T_Names,0))</f>
        <v>4.0750000000000002</v>
      </c>
      <c r="F145">
        <f>1+COUNTIFS(T_Total,"&gt;"&amp;D145,T_Pos,$B145)</f>
        <v>75</v>
      </c>
      <c r="G145">
        <f>1+COUNTIFS(T_Avg_PPG,"&gt;"&amp;E145,T_Pos,$B145)</f>
        <v>100</v>
      </c>
      <c r="H145">
        <f>_xlfn.IFNA(VLOOKUP($A145,PredictionTable,MATCH(H$1,Analysts,0),FALSE),60)</f>
        <v>60</v>
      </c>
      <c r="I145">
        <f>_xlfn.IFNA(VLOOKUP($A145,PredictionTable,MATCH(I$1,Analysts,0),FALSE),60)</f>
        <v>60</v>
      </c>
      <c r="J145">
        <f>_xlfn.IFNA(VLOOKUP($A145,PredictionTable,MATCH(J$1,Analysts,0),FALSE),60)</f>
        <v>60</v>
      </c>
      <c r="K145">
        <f>_xlfn.IFNA(VLOOKUP($A145,PredictionTable,MATCH(K$1,Analysts,0),FALSE),60)</f>
        <v>60</v>
      </c>
      <c r="L145">
        <f>_xlfn.IFNA(VLOOKUP($A145,PredictionTable,MATCH(L$1,Analysts,0),FALSE),60)</f>
        <v>60</v>
      </c>
      <c r="M145">
        <f>_xlfn.IFNA(VLOOKUP($A145,PredictionTable,MATCH(M$1,Analysts,0),FALSE),60)</f>
        <v>60</v>
      </c>
      <c r="N145">
        <f>_xlfn.IFNA(VLOOKUP($A145,PredictionTable,MATCH(N$1,Analysts,0),FALSE),60)</f>
        <v>60</v>
      </c>
      <c r="O145">
        <f>_xlfn.IFNA(VLOOKUP($A145,PredictionTable,MATCH(O$1,Analysts,0),FALSE),60)</f>
        <v>60</v>
      </c>
      <c r="P145">
        <f>_xlfn.IFNA(VLOOKUP($A145,PredictionTable,MATCH(P$1,Analysts,0),FALSE),60)</f>
        <v>60</v>
      </c>
      <c r="V145" s="7" t="s">
        <v>589</v>
      </c>
    </row>
    <row r="146" spans="1:22" x14ac:dyDescent="0.45">
      <c r="A146" s="1" t="s">
        <v>150</v>
      </c>
      <c r="B146" s="1" t="s">
        <v>84</v>
      </c>
      <c r="C146" s="1">
        <f>INDEX(T_Performances,MATCH($A146,T_Names,0))</f>
        <v>0</v>
      </c>
      <c r="D146">
        <v>29.9</v>
      </c>
      <c r="E146" s="1">
        <f>INDEX(T_Avg_PPG,MATCH($A146,T_Names,0))</f>
        <v>3.322222222222222</v>
      </c>
      <c r="F146">
        <f>1+COUNTIFS(T_Total,"&gt;"&amp;D146,T_Pos,$B146)</f>
        <v>82</v>
      </c>
      <c r="G146">
        <f>1+COUNTIFS(T_Avg_PPG,"&gt;"&amp;E146,T_Pos,$B146)</f>
        <v>110</v>
      </c>
      <c r="H146">
        <f>_xlfn.IFNA(VLOOKUP($A146,PredictionTable,MATCH(H$1,Analysts,0),FALSE),60)</f>
        <v>60</v>
      </c>
      <c r="I146">
        <f>_xlfn.IFNA(VLOOKUP($A146,PredictionTable,MATCH(I$1,Analysts,0),FALSE),60)</f>
        <v>60</v>
      </c>
      <c r="J146">
        <f>_xlfn.IFNA(VLOOKUP($A146,PredictionTable,MATCH(J$1,Analysts,0),FALSE),60)</f>
        <v>60</v>
      </c>
      <c r="K146">
        <f>_xlfn.IFNA(VLOOKUP($A146,PredictionTable,MATCH(K$1,Analysts,0),FALSE),60)</f>
        <v>60</v>
      </c>
      <c r="L146">
        <f>_xlfn.IFNA(VLOOKUP($A146,PredictionTable,MATCH(L$1,Analysts,0),FALSE),60)</f>
        <v>60</v>
      </c>
      <c r="M146">
        <f>_xlfn.IFNA(VLOOKUP($A146,PredictionTable,MATCH(M$1,Analysts,0),FALSE),60)</f>
        <v>60</v>
      </c>
      <c r="N146">
        <f>_xlfn.IFNA(VLOOKUP($A146,PredictionTable,MATCH(N$1,Analysts,0),FALSE),60)</f>
        <v>60</v>
      </c>
      <c r="O146">
        <f>_xlfn.IFNA(VLOOKUP($A146,PredictionTable,MATCH(O$1,Analysts,0),FALSE),60)</f>
        <v>60</v>
      </c>
      <c r="P146">
        <f>_xlfn.IFNA(VLOOKUP($A146,PredictionTable,MATCH(P$1,Analysts,0),FALSE),60)</f>
        <v>60</v>
      </c>
      <c r="V146" s="7" t="s">
        <v>589</v>
      </c>
    </row>
    <row r="147" spans="1:22" x14ac:dyDescent="0.45">
      <c r="A147" s="1" t="s">
        <v>151</v>
      </c>
      <c r="B147" s="1" t="s">
        <v>84</v>
      </c>
      <c r="C147" s="1">
        <f>INDEX(T_Performances,MATCH($A147,T_Names,0))</f>
        <v>0</v>
      </c>
      <c r="D147">
        <v>26.6</v>
      </c>
      <c r="E147" s="1">
        <f>INDEX(T_Avg_PPG,MATCH($A147,T_Names,0))</f>
        <v>4.4333333333333336</v>
      </c>
      <c r="F147">
        <f>1+COUNTIFS(T_Total,"&gt;"&amp;D147,T_Pos,$B147)</f>
        <v>86</v>
      </c>
      <c r="G147">
        <f>1+COUNTIFS(T_Avg_PPG,"&gt;"&amp;E147,T_Pos,$B147)</f>
        <v>88</v>
      </c>
      <c r="H147">
        <f>_xlfn.IFNA(VLOOKUP($A147,PredictionTable,MATCH(H$1,Analysts,0),FALSE),60)</f>
        <v>50</v>
      </c>
      <c r="I147">
        <f>_xlfn.IFNA(VLOOKUP($A147,PredictionTable,MATCH(I$1,Analysts,0),FALSE),60)</f>
        <v>48</v>
      </c>
      <c r="J147">
        <f>_xlfn.IFNA(VLOOKUP($A147,PredictionTable,MATCH(J$1,Analysts,0),FALSE),60)</f>
        <v>50</v>
      </c>
      <c r="K147" t="str">
        <f>_xlfn.IFNA(VLOOKUP($A147,PredictionTable,MATCH(K$1,Analysts,0),FALSE),60)</f>
        <v>NR</v>
      </c>
      <c r="L147">
        <f>_xlfn.IFNA(VLOOKUP($A147,PredictionTable,MATCH(L$1,Analysts,0),FALSE),60)</f>
        <v>43</v>
      </c>
      <c r="M147" t="str">
        <f>_xlfn.IFNA(VLOOKUP($A147,PredictionTable,MATCH(M$1,Analysts,0),FALSE),60)</f>
        <v>NR</v>
      </c>
      <c r="N147">
        <f>_xlfn.IFNA(VLOOKUP($A147,PredictionTable,MATCH(N$1,Analysts,0),FALSE),60)</f>
        <v>40</v>
      </c>
      <c r="O147" t="str">
        <f>_xlfn.IFNA(VLOOKUP($A147,PredictionTable,MATCH(O$1,Analysts,0),FALSE),60)</f>
        <v>NR</v>
      </c>
      <c r="P147">
        <f>_xlfn.IFNA(VLOOKUP($A147,PredictionTable,MATCH(P$1,Analysts,0),FALSE),60)</f>
        <v>48</v>
      </c>
      <c r="V147" s="7" t="s">
        <v>589</v>
      </c>
    </row>
    <row r="148" spans="1:22" x14ac:dyDescent="0.45">
      <c r="A148" s="1" t="s">
        <v>152</v>
      </c>
      <c r="B148" s="1" t="s">
        <v>84</v>
      </c>
      <c r="C148" s="1">
        <f>INDEX(T_Performances,MATCH($A148,T_Names,0))</f>
        <v>0</v>
      </c>
      <c r="D148">
        <v>24.3</v>
      </c>
      <c r="E148" s="1">
        <f>INDEX(T_Avg_PPG,MATCH($A148,T_Names,0))</f>
        <v>6.0750000000000002</v>
      </c>
      <c r="F148">
        <f>1+COUNTIFS(T_Total,"&gt;"&amp;D148,T_Pos,$B148)</f>
        <v>91</v>
      </c>
      <c r="G148">
        <f>1+COUNTIFS(T_Avg_PPG,"&gt;"&amp;E148,T_Pos,$B148)</f>
        <v>66</v>
      </c>
      <c r="H148">
        <f>_xlfn.IFNA(VLOOKUP($A148,PredictionTable,MATCH(H$1,Analysts,0),FALSE),60)</f>
        <v>60</v>
      </c>
      <c r="I148">
        <f>_xlfn.IFNA(VLOOKUP($A148,PredictionTable,MATCH(I$1,Analysts,0),FALSE),60)</f>
        <v>60</v>
      </c>
      <c r="J148">
        <f>_xlfn.IFNA(VLOOKUP($A148,PredictionTable,MATCH(J$1,Analysts,0),FALSE),60)</f>
        <v>60</v>
      </c>
      <c r="K148">
        <f>_xlfn.IFNA(VLOOKUP($A148,PredictionTable,MATCH(K$1,Analysts,0),FALSE),60)</f>
        <v>60</v>
      </c>
      <c r="L148">
        <f>_xlfn.IFNA(VLOOKUP($A148,PredictionTable,MATCH(L$1,Analysts,0),FALSE),60)</f>
        <v>60</v>
      </c>
      <c r="M148">
        <f>_xlfn.IFNA(VLOOKUP($A148,PredictionTable,MATCH(M$1,Analysts,0),FALSE),60)</f>
        <v>60</v>
      </c>
      <c r="N148">
        <f>_xlfn.IFNA(VLOOKUP($A148,PredictionTable,MATCH(N$1,Analysts,0),FALSE),60)</f>
        <v>60</v>
      </c>
      <c r="O148">
        <f>_xlfn.IFNA(VLOOKUP($A148,PredictionTable,MATCH(O$1,Analysts,0),FALSE),60)</f>
        <v>60</v>
      </c>
      <c r="P148">
        <f>_xlfn.IFNA(VLOOKUP($A148,PredictionTable,MATCH(P$1,Analysts,0),FALSE),60)</f>
        <v>60</v>
      </c>
      <c r="V148" s="7" t="s">
        <v>589</v>
      </c>
    </row>
    <row r="149" spans="1:22" x14ac:dyDescent="0.45">
      <c r="A149" s="1" t="s">
        <v>153</v>
      </c>
      <c r="B149" s="1" t="s">
        <v>84</v>
      </c>
      <c r="C149" s="1">
        <f>INDEX(T_Performances,MATCH($A149,T_Names,0))</f>
        <v>1</v>
      </c>
      <c r="D149">
        <v>15.8</v>
      </c>
      <c r="E149" s="1">
        <f>INDEX(T_Avg_PPG,MATCH($A149,T_Names,0))</f>
        <v>5.2666666666666666</v>
      </c>
      <c r="F149">
        <f>1+COUNTIFS(T_Total,"&gt;"&amp;D149,T_Pos,$B149)</f>
        <v>100</v>
      </c>
      <c r="G149">
        <f>1+COUNTIFS(T_Avg_PPG,"&gt;"&amp;E149,T_Pos,$B149)</f>
        <v>75</v>
      </c>
      <c r="H149">
        <f>_xlfn.IFNA(VLOOKUP($A149,PredictionTable,MATCH(H$1,Analysts,0),FALSE),60)</f>
        <v>60</v>
      </c>
      <c r="I149">
        <f>_xlfn.IFNA(VLOOKUP($A149,PredictionTable,MATCH(I$1,Analysts,0),FALSE),60)</f>
        <v>60</v>
      </c>
      <c r="J149">
        <f>_xlfn.IFNA(VLOOKUP($A149,PredictionTable,MATCH(J$1,Analysts,0),FALSE),60)</f>
        <v>60</v>
      </c>
      <c r="K149">
        <f>_xlfn.IFNA(VLOOKUP($A149,PredictionTable,MATCH(K$1,Analysts,0),FALSE),60)</f>
        <v>60</v>
      </c>
      <c r="L149">
        <f>_xlfn.IFNA(VLOOKUP($A149,PredictionTable,MATCH(L$1,Analysts,0),FALSE),60)</f>
        <v>60</v>
      </c>
      <c r="M149">
        <f>_xlfn.IFNA(VLOOKUP($A149,PredictionTable,MATCH(M$1,Analysts,0),FALSE),60)</f>
        <v>60</v>
      </c>
      <c r="N149">
        <f>_xlfn.IFNA(VLOOKUP($A149,PredictionTable,MATCH(N$1,Analysts,0),FALSE),60)</f>
        <v>60</v>
      </c>
      <c r="O149">
        <f>_xlfn.IFNA(VLOOKUP($A149,PredictionTable,MATCH(O$1,Analysts,0),FALSE),60)</f>
        <v>60</v>
      </c>
      <c r="P149">
        <f>_xlfn.IFNA(VLOOKUP($A149,PredictionTable,MATCH(P$1,Analysts,0),FALSE),60)</f>
        <v>60</v>
      </c>
      <c r="V149" s="7" t="s">
        <v>589</v>
      </c>
    </row>
    <row r="150" spans="1:22" x14ac:dyDescent="0.45">
      <c r="A150" s="1" t="s">
        <v>154</v>
      </c>
      <c r="B150" s="1" t="s">
        <v>84</v>
      </c>
      <c r="C150" s="1">
        <f>INDEX(T_Performances,MATCH($A150,T_Names,0))</f>
        <v>0</v>
      </c>
      <c r="D150">
        <v>13</v>
      </c>
      <c r="E150" s="1">
        <f>INDEX(T_Avg_PPG,MATCH($A150,T_Names,0))</f>
        <v>6.5</v>
      </c>
      <c r="F150">
        <f>1+COUNTIFS(T_Total,"&gt;"&amp;D150,T_Pos,$B150)</f>
        <v>104</v>
      </c>
      <c r="G150">
        <f>1+COUNTIFS(T_Avg_PPG,"&gt;"&amp;E150,T_Pos,$B150)</f>
        <v>57</v>
      </c>
      <c r="H150">
        <f>_xlfn.IFNA(VLOOKUP($A150,PredictionTable,MATCH(H$1,Analysts,0),FALSE),60)</f>
        <v>60</v>
      </c>
      <c r="I150">
        <f>_xlfn.IFNA(VLOOKUP($A150,PredictionTable,MATCH(I$1,Analysts,0),FALSE),60)</f>
        <v>60</v>
      </c>
      <c r="J150">
        <f>_xlfn.IFNA(VLOOKUP($A150,PredictionTable,MATCH(J$1,Analysts,0),FALSE),60)</f>
        <v>60</v>
      </c>
      <c r="K150">
        <f>_xlfn.IFNA(VLOOKUP($A150,PredictionTable,MATCH(K$1,Analysts,0),FALSE),60)</f>
        <v>60</v>
      </c>
      <c r="L150">
        <f>_xlfn.IFNA(VLOOKUP($A150,PredictionTable,MATCH(L$1,Analysts,0),FALSE),60)</f>
        <v>60</v>
      </c>
      <c r="M150">
        <f>_xlfn.IFNA(VLOOKUP($A150,PredictionTable,MATCH(M$1,Analysts,0),FALSE),60)</f>
        <v>60</v>
      </c>
      <c r="N150">
        <f>_xlfn.IFNA(VLOOKUP($A150,PredictionTable,MATCH(N$1,Analysts,0),FALSE),60)</f>
        <v>60</v>
      </c>
      <c r="O150">
        <f>_xlfn.IFNA(VLOOKUP($A150,PredictionTable,MATCH(O$1,Analysts,0),FALSE),60)</f>
        <v>60</v>
      </c>
      <c r="P150">
        <f>_xlfn.IFNA(VLOOKUP($A150,PredictionTable,MATCH(P$1,Analysts,0),FALSE),60)</f>
        <v>60</v>
      </c>
      <c r="V150" s="7" t="s">
        <v>589</v>
      </c>
    </row>
    <row r="151" spans="1:22" x14ac:dyDescent="0.45">
      <c r="A151" s="1" t="s">
        <v>155</v>
      </c>
      <c r="B151" s="1" t="s">
        <v>84</v>
      </c>
      <c r="C151" s="1">
        <f>INDEX(T_Performances,MATCH($A151,T_Names,0))</f>
        <v>5</v>
      </c>
      <c r="D151">
        <v>119.4</v>
      </c>
      <c r="E151" s="1">
        <f>INDEX(T_Avg_PPG,MATCH($A151,T_Names,0))</f>
        <v>8.5285714285714285</v>
      </c>
      <c r="F151">
        <f>1+COUNTIFS(T_Total,"&gt;"&amp;D151,T_Pos,$B151)</f>
        <v>33</v>
      </c>
      <c r="G151">
        <f>1+COUNTIFS(T_Avg_PPG,"&gt;"&amp;E151,T_Pos,$B151)</f>
        <v>43</v>
      </c>
      <c r="H151">
        <f>_xlfn.IFNA(VLOOKUP($A151,PredictionTable,MATCH(H$1,Analysts,0),FALSE),60)</f>
        <v>60</v>
      </c>
      <c r="I151">
        <f>_xlfn.IFNA(VLOOKUP($A151,PredictionTable,MATCH(I$1,Analysts,0),FALSE),60)</f>
        <v>60</v>
      </c>
      <c r="J151">
        <f>_xlfn.IFNA(VLOOKUP($A151,PredictionTable,MATCH(J$1,Analysts,0),FALSE),60)</f>
        <v>60</v>
      </c>
      <c r="K151">
        <f>_xlfn.IFNA(VLOOKUP($A151,PredictionTable,MATCH(K$1,Analysts,0),FALSE),60)</f>
        <v>60</v>
      </c>
      <c r="L151">
        <f>_xlfn.IFNA(VLOOKUP($A151,PredictionTable,MATCH(L$1,Analysts,0),FALSE),60)</f>
        <v>60</v>
      </c>
      <c r="M151">
        <f>_xlfn.IFNA(VLOOKUP($A151,PredictionTable,MATCH(M$1,Analysts,0),FALSE),60)</f>
        <v>60</v>
      </c>
      <c r="N151">
        <f>_xlfn.IFNA(VLOOKUP($A151,PredictionTable,MATCH(N$1,Analysts,0),FALSE),60)</f>
        <v>60</v>
      </c>
      <c r="O151">
        <f>_xlfn.IFNA(VLOOKUP($A151,PredictionTable,MATCH(O$1,Analysts,0),FALSE),60)</f>
        <v>60</v>
      </c>
      <c r="P151">
        <f>_xlfn.IFNA(VLOOKUP($A151,PredictionTable,MATCH(P$1,Analysts,0),FALSE),60)</f>
        <v>60</v>
      </c>
      <c r="V151" s="7" t="s">
        <v>589</v>
      </c>
    </row>
    <row r="152" spans="1:22" x14ac:dyDescent="0.45">
      <c r="A152" s="1" t="s">
        <v>156</v>
      </c>
      <c r="B152" s="1" t="s">
        <v>84</v>
      </c>
      <c r="C152" s="1">
        <f>INDEX(T_Performances,MATCH($A152,T_Names,0))</f>
        <v>3</v>
      </c>
      <c r="D152">
        <v>105.1</v>
      </c>
      <c r="E152" s="1">
        <f>INDEX(T_Avg_PPG,MATCH($A152,T_Names,0))</f>
        <v>7.5071428571428571</v>
      </c>
      <c r="F152">
        <f>1+COUNTIFS(T_Total,"&gt;"&amp;D152,T_Pos,$B152)</f>
        <v>41</v>
      </c>
      <c r="G152">
        <f>1+COUNTIFS(T_Avg_PPG,"&gt;"&amp;E152,T_Pos,$B152)</f>
        <v>52</v>
      </c>
      <c r="H152">
        <f>_xlfn.IFNA(VLOOKUP($A152,PredictionTable,MATCH(H$1,Analysts,0),FALSE),60)</f>
        <v>25</v>
      </c>
      <c r="I152">
        <f>_xlfn.IFNA(VLOOKUP($A152,PredictionTable,MATCH(I$1,Analysts,0),FALSE),60)</f>
        <v>26</v>
      </c>
      <c r="J152">
        <f>_xlfn.IFNA(VLOOKUP($A152,PredictionTable,MATCH(J$1,Analysts,0),FALSE),60)</f>
        <v>28</v>
      </c>
      <c r="K152">
        <f>_xlfn.IFNA(VLOOKUP($A152,PredictionTable,MATCH(K$1,Analysts,0),FALSE),60)</f>
        <v>24</v>
      </c>
      <c r="L152">
        <f>_xlfn.IFNA(VLOOKUP($A152,PredictionTable,MATCH(L$1,Analysts,0),FALSE),60)</f>
        <v>31</v>
      </c>
      <c r="M152">
        <f>_xlfn.IFNA(VLOOKUP($A152,PredictionTable,MATCH(M$1,Analysts,0),FALSE),60)</f>
        <v>23</v>
      </c>
      <c r="N152">
        <f>_xlfn.IFNA(VLOOKUP($A152,PredictionTable,MATCH(N$1,Analysts,0),FALSE),60)</f>
        <v>25</v>
      </c>
      <c r="O152">
        <f>_xlfn.IFNA(VLOOKUP($A152,PredictionTable,MATCH(O$1,Analysts,0),FALSE),60)</f>
        <v>29</v>
      </c>
      <c r="P152">
        <f>_xlfn.IFNA(VLOOKUP($A152,PredictionTable,MATCH(P$1,Analysts,0),FALSE),60)</f>
        <v>26.4</v>
      </c>
      <c r="V152" s="7" t="s">
        <v>589</v>
      </c>
    </row>
    <row r="153" spans="1:22" x14ac:dyDescent="0.45">
      <c r="A153" s="1" t="s">
        <v>157</v>
      </c>
      <c r="B153" s="1" t="s">
        <v>84</v>
      </c>
      <c r="C153" s="1">
        <f>INDEX(T_Performances,MATCH($A153,T_Names,0))</f>
        <v>2</v>
      </c>
      <c r="D153">
        <v>91.9</v>
      </c>
      <c r="E153" s="1">
        <f>INDEX(T_Avg_PPG,MATCH($A153,T_Names,0))</f>
        <v>5.7437500000000004</v>
      </c>
      <c r="F153">
        <f>1+COUNTIFS(T_Total,"&gt;"&amp;D153,T_Pos,$B153)</f>
        <v>44</v>
      </c>
      <c r="G153">
        <f>1+COUNTIFS(T_Avg_PPG,"&gt;"&amp;E153,T_Pos,$B153)</f>
        <v>71</v>
      </c>
      <c r="H153">
        <f>_xlfn.IFNA(VLOOKUP($A153,PredictionTable,MATCH(H$1,Analysts,0),FALSE),60)</f>
        <v>41</v>
      </c>
      <c r="I153">
        <f>_xlfn.IFNA(VLOOKUP($A153,PredictionTable,MATCH(I$1,Analysts,0),FALSE),60)</f>
        <v>46</v>
      </c>
      <c r="J153">
        <f>_xlfn.IFNA(VLOOKUP($A153,PredictionTable,MATCH(J$1,Analysts,0),FALSE),60)</f>
        <v>47</v>
      </c>
      <c r="K153">
        <f>_xlfn.IFNA(VLOOKUP($A153,PredictionTable,MATCH(K$1,Analysts,0),FALSE),60)</f>
        <v>43</v>
      </c>
      <c r="L153">
        <f>_xlfn.IFNA(VLOOKUP($A153,PredictionTable,MATCH(L$1,Analysts,0),FALSE),60)</f>
        <v>39</v>
      </c>
      <c r="M153">
        <f>_xlfn.IFNA(VLOOKUP($A153,PredictionTable,MATCH(M$1,Analysts,0),FALSE),60)</f>
        <v>42</v>
      </c>
      <c r="N153">
        <f>_xlfn.IFNA(VLOOKUP($A153,PredictionTable,MATCH(N$1,Analysts,0),FALSE),60)</f>
        <v>45</v>
      </c>
      <c r="O153">
        <f>_xlfn.IFNA(VLOOKUP($A153,PredictionTable,MATCH(O$1,Analysts,0),FALSE),60)</f>
        <v>43</v>
      </c>
      <c r="P153">
        <f>_xlfn.IFNA(VLOOKUP($A153,PredictionTable,MATCH(P$1,Analysts,0),FALSE),60)</f>
        <v>43.3</v>
      </c>
      <c r="V153" s="7" t="s">
        <v>589</v>
      </c>
    </row>
    <row r="154" spans="1:22" x14ac:dyDescent="0.45">
      <c r="A154" s="1" t="s">
        <v>158</v>
      </c>
      <c r="B154" s="1" t="s">
        <v>84</v>
      </c>
      <c r="C154" s="1">
        <f>INDEX(T_Performances,MATCH($A154,T_Names,0))</f>
        <v>3</v>
      </c>
      <c r="D154">
        <v>86.2</v>
      </c>
      <c r="E154" s="1">
        <f>INDEX(T_Avg_PPG,MATCH($A154,T_Names,0))</f>
        <v>6.6307692307692312</v>
      </c>
      <c r="F154">
        <f>1+COUNTIFS(T_Total,"&gt;"&amp;D154,T_Pos,$B154)</f>
        <v>47</v>
      </c>
      <c r="G154">
        <f>1+COUNTIFS(T_Avg_PPG,"&gt;"&amp;E154,T_Pos,$B154)</f>
        <v>56</v>
      </c>
      <c r="H154">
        <f>_xlfn.IFNA(VLOOKUP($A154,PredictionTable,MATCH(H$1,Analysts,0),FALSE),60)</f>
        <v>60</v>
      </c>
      <c r="I154">
        <f>_xlfn.IFNA(VLOOKUP($A154,PredictionTable,MATCH(I$1,Analysts,0),FALSE),60)</f>
        <v>60</v>
      </c>
      <c r="J154">
        <f>_xlfn.IFNA(VLOOKUP($A154,PredictionTable,MATCH(J$1,Analysts,0),FALSE),60)</f>
        <v>60</v>
      </c>
      <c r="K154">
        <f>_xlfn.IFNA(VLOOKUP($A154,PredictionTable,MATCH(K$1,Analysts,0),FALSE),60)</f>
        <v>60</v>
      </c>
      <c r="L154">
        <f>_xlfn.IFNA(VLOOKUP($A154,PredictionTable,MATCH(L$1,Analysts,0),FALSE),60)</f>
        <v>60</v>
      </c>
      <c r="M154">
        <f>_xlfn.IFNA(VLOOKUP($A154,PredictionTable,MATCH(M$1,Analysts,0),FALSE),60)</f>
        <v>60</v>
      </c>
      <c r="N154">
        <f>_xlfn.IFNA(VLOOKUP($A154,PredictionTable,MATCH(N$1,Analysts,0),FALSE),60)</f>
        <v>60</v>
      </c>
      <c r="O154">
        <f>_xlfn.IFNA(VLOOKUP($A154,PredictionTable,MATCH(O$1,Analysts,0),FALSE),60)</f>
        <v>60</v>
      </c>
      <c r="P154">
        <f>_xlfn.IFNA(VLOOKUP($A154,PredictionTable,MATCH(P$1,Analysts,0),FALSE),60)</f>
        <v>60</v>
      </c>
      <c r="V154" s="7" t="s">
        <v>589</v>
      </c>
    </row>
    <row r="155" spans="1:22" x14ac:dyDescent="0.45">
      <c r="A155" s="1" t="s">
        <v>159</v>
      </c>
      <c r="B155" s="1" t="s">
        <v>84</v>
      </c>
      <c r="C155" s="1">
        <f>INDEX(T_Performances,MATCH($A155,T_Names,0))</f>
        <v>1</v>
      </c>
      <c r="D155">
        <v>85.2</v>
      </c>
      <c r="E155" s="1">
        <f>INDEX(T_Avg_PPG,MATCH($A155,T_Names,0))</f>
        <v>5.6800000000000006</v>
      </c>
      <c r="F155">
        <f>1+COUNTIFS(T_Total,"&gt;"&amp;D155,T_Pos,$B155)</f>
        <v>49</v>
      </c>
      <c r="G155">
        <f>1+COUNTIFS(T_Avg_PPG,"&gt;"&amp;E155,T_Pos,$B155)</f>
        <v>72</v>
      </c>
      <c r="H155">
        <f>_xlfn.IFNA(VLOOKUP($A155,PredictionTable,MATCH(H$1,Analysts,0),FALSE),60)</f>
        <v>44</v>
      </c>
      <c r="I155">
        <f>_xlfn.IFNA(VLOOKUP($A155,PredictionTable,MATCH(I$1,Analysts,0),FALSE),60)</f>
        <v>50</v>
      </c>
      <c r="J155">
        <f>_xlfn.IFNA(VLOOKUP($A155,PredictionTable,MATCH(J$1,Analysts,0),FALSE),60)</f>
        <v>44</v>
      </c>
      <c r="K155">
        <f>_xlfn.IFNA(VLOOKUP($A155,PredictionTable,MATCH(K$1,Analysts,0),FALSE),60)</f>
        <v>48</v>
      </c>
      <c r="L155">
        <f>_xlfn.IFNA(VLOOKUP($A155,PredictionTable,MATCH(L$1,Analysts,0),FALSE),60)</f>
        <v>49</v>
      </c>
      <c r="M155">
        <f>_xlfn.IFNA(VLOOKUP($A155,PredictionTable,MATCH(M$1,Analysts,0),FALSE),60)</f>
        <v>48</v>
      </c>
      <c r="N155" t="str">
        <f>_xlfn.IFNA(VLOOKUP($A155,PredictionTable,MATCH(N$1,Analysts,0),FALSE),60)</f>
        <v>NR</v>
      </c>
      <c r="O155" t="str">
        <f>_xlfn.IFNA(VLOOKUP($A155,PredictionTable,MATCH(O$1,Analysts,0),FALSE),60)</f>
        <v>NR</v>
      </c>
      <c r="P155">
        <f>_xlfn.IFNA(VLOOKUP($A155,PredictionTable,MATCH(P$1,Analysts,0),FALSE),60)</f>
        <v>48.1</v>
      </c>
      <c r="V155" s="7" t="s">
        <v>589</v>
      </c>
    </row>
    <row r="156" spans="1:22" x14ac:dyDescent="0.45">
      <c r="A156" s="1" t="s">
        <v>160</v>
      </c>
      <c r="B156" s="1" t="s">
        <v>84</v>
      </c>
      <c r="C156" s="1">
        <f>INDEX(T_Performances,MATCH($A156,T_Names,0))</f>
        <v>3</v>
      </c>
      <c r="D156">
        <v>82.7</v>
      </c>
      <c r="E156" s="1">
        <f>INDEX(T_Avg_PPG,MATCH($A156,T_Names,0))</f>
        <v>5.5133333333333336</v>
      </c>
      <c r="F156">
        <f>1+COUNTIFS(T_Total,"&gt;"&amp;D156,T_Pos,$B156)</f>
        <v>50</v>
      </c>
      <c r="G156">
        <f>1+COUNTIFS(T_Avg_PPG,"&gt;"&amp;E156,T_Pos,$B156)</f>
        <v>73</v>
      </c>
      <c r="H156">
        <f>_xlfn.IFNA(VLOOKUP($A156,PredictionTable,MATCH(H$1,Analysts,0),FALSE),60)</f>
        <v>60</v>
      </c>
      <c r="I156">
        <f>_xlfn.IFNA(VLOOKUP($A156,PredictionTable,MATCH(I$1,Analysts,0),FALSE),60)</f>
        <v>60</v>
      </c>
      <c r="J156">
        <f>_xlfn.IFNA(VLOOKUP($A156,PredictionTable,MATCH(J$1,Analysts,0),FALSE),60)</f>
        <v>60</v>
      </c>
      <c r="K156">
        <f>_xlfn.IFNA(VLOOKUP($A156,PredictionTable,MATCH(K$1,Analysts,0),FALSE),60)</f>
        <v>60</v>
      </c>
      <c r="L156">
        <f>_xlfn.IFNA(VLOOKUP($A156,PredictionTable,MATCH(L$1,Analysts,0),FALSE),60)</f>
        <v>60</v>
      </c>
      <c r="M156">
        <f>_xlfn.IFNA(VLOOKUP($A156,PredictionTable,MATCH(M$1,Analysts,0),FALSE),60)</f>
        <v>60</v>
      </c>
      <c r="N156">
        <f>_xlfn.IFNA(VLOOKUP($A156,PredictionTable,MATCH(N$1,Analysts,0),FALSE),60)</f>
        <v>60</v>
      </c>
      <c r="O156">
        <f>_xlfn.IFNA(VLOOKUP($A156,PredictionTable,MATCH(O$1,Analysts,0),FALSE),60)</f>
        <v>60</v>
      </c>
      <c r="P156">
        <f>_xlfn.IFNA(VLOOKUP($A156,PredictionTable,MATCH(P$1,Analysts,0),FALSE),60)</f>
        <v>60</v>
      </c>
      <c r="V156" s="7" t="s">
        <v>589</v>
      </c>
    </row>
    <row r="157" spans="1:22" x14ac:dyDescent="0.45">
      <c r="A157" s="1" t="s">
        <v>161</v>
      </c>
      <c r="B157" s="1" t="s">
        <v>84</v>
      </c>
      <c r="C157" s="1">
        <f>INDEX(T_Performances,MATCH($A157,T_Names,0))</f>
        <v>2</v>
      </c>
      <c r="D157">
        <v>69.400000000000006</v>
      </c>
      <c r="E157" s="1">
        <f>INDEX(T_Avg_PPG,MATCH($A157,T_Names,0))</f>
        <v>7.7111111111111121</v>
      </c>
      <c r="F157">
        <f>1+COUNTIFS(T_Total,"&gt;"&amp;D157,T_Pos,$B157)</f>
        <v>53</v>
      </c>
      <c r="G157">
        <f>1+COUNTIFS(T_Avg_PPG,"&gt;"&amp;E157,T_Pos,$B157)</f>
        <v>49</v>
      </c>
      <c r="H157">
        <f>_xlfn.IFNA(VLOOKUP($A157,PredictionTable,MATCH(H$1,Analysts,0),FALSE),60)</f>
        <v>60</v>
      </c>
      <c r="I157">
        <f>_xlfn.IFNA(VLOOKUP($A157,PredictionTable,MATCH(I$1,Analysts,0),FALSE),60)</f>
        <v>60</v>
      </c>
      <c r="J157">
        <f>_xlfn.IFNA(VLOOKUP($A157,PredictionTable,MATCH(J$1,Analysts,0),FALSE),60)</f>
        <v>60</v>
      </c>
      <c r="K157">
        <f>_xlfn.IFNA(VLOOKUP($A157,PredictionTable,MATCH(K$1,Analysts,0),FALSE),60)</f>
        <v>60</v>
      </c>
      <c r="L157">
        <f>_xlfn.IFNA(VLOOKUP($A157,PredictionTable,MATCH(L$1,Analysts,0),FALSE),60)</f>
        <v>60</v>
      </c>
      <c r="M157">
        <f>_xlfn.IFNA(VLOOKUP($A157,PredictionTable,MATCH(M$1,Analysts,0),FALSE),60)</f>
        <v>60</v>
      </c>
      <c r="N157">
        <f>_xlfn.IFNA(VLOOKUP($A157,PredictionTable,MATCH(N$1,Analysts,0),FALSE),60)</f>
        <v>60</v>
      </c>
      <c r="O157">
        <f>_xlfn.IFNA(VLOOKUP($A157,PredictionTable,MATCH(O$1,Analysts,0),FALSE),60)</f>
        <v>60</v>
      </c>
      <c r="P157">
        <f>_xlfn.IFNA(VLOOKUP($A157,PredictionTable,MATCH(P$1,Analysts,0),FALSE),60)</f>
        <v>60</v>
      </c>
      <c r="V157" s="7" t="s">
        <v>589</v>
      </c>
    </row>
    <row r="158" spans="1:22" x14ac:dyDescent="0.45">
      <c r="A158" s="1" t="s">
        <v>162</v>
      </c>
      <c r="B158" s="1" t="s">
        <v>84</v>
      </c>
      <c r="C158" s="1">
        <f>INDEX(T_Performances,MATCH($A158,T_Names,0))</f>
        <v>1</v>
      </c>
      <c r="D158">
        <v>48.1</v>
      </c>
      <c r="E158" s="1">
        <f>INDEX(T_Avg_PPG,MATCH($A158,T_Names,0))</f>
        <v>4.0083333333333337</v>
      </c>
      <c r="F158">
        <f>1+COUNTIFS(T_Total,"&gt;"&amp;D158,T_Pos,$B158)</f>
        <v>64</v>
      </c>
      <c r="G158">
        <f>1+COUNTIFS(T_Avg_PPG,"&gt;"&amp;E158,T_Pos,$B158)</f>
        <v>101</v>
      </c>
      <c r="H158">
        <f>_xlfn.IFNA(VLOOKUP($A158,PredictionTable,MATCH(H$1,Analysts,0),FALSE),60)</f>
        <v>60</v>
      </c>
      <c r="I158">
        <f>_xlfn.IFNA(VLOOKUP($A158,PredictionTable,MATCH(I$1,Analysts,0),FALSE),60)</f>
        <v>60</v>
      </c>
      <c r="J158">
        <f>_xlfn.IFNA(VLOOKUP($A158,PredictionTable,MATCH(J$1,Analysts,0),FALSE),60)</f>
        <v>60</v>
      </c>
      <c r="K158">
        <f>_xlfn.IFNA(VLOOKUP($A158,PredictionTable,MATCH(K$1,Analysts,0),FALSE),60)</f>
        <v>60</v>
      </c>
      <c r="L158">
        <f>_xlfn.IFNA(VLOOKUP($A158,PredictionTable,MATCH(L$1,Analysts,0),FALSE),60)</f>
        <v>60</v>
      </c>
      <c r="M158">
        <f>_xlfn.IFNA(VLOOKUP($A158,PredictionTable,MATCH(M$1,Analysts,0),FALSE),60)</f>
        <v>60</v>
      </c>
      <c r="N158">
        <f>_xlfn.IFNA(VLOOKUP($A158,PredictionTable,MATCH(N$1,Analysts,0),FALSE),60)</f>
        <v>60</v>
      </c>
      <c r="O158">
        <f>_xlfn.IFNA(VLOOKUP($A158,PredictionTable,MATCH(O$1,Analysts,0),FALSE),60)</f>
        <v>60</v>
      </c>
      <c r="P158">
        <f>_xlfn.IFNA(VLOOKUP($A158,PredictionTable,MATCH(P$1,Analysts,0),FALSE),60)</f>
        <v>60</v>
      </c>
      <c r="V158" s="7" t="s">
        <v>589</v>
      </c>
    </row>
    <row r="159" spans="1:22" x14ac:dyDescent="0.45">
      <c r="A159" s="1" t="s">
        <v>163</v>
      </c>
      <c r="B159" s="1" t="s">
        <v>84</v>
      </c>
      <c r="C159" s="1">
        <f>INDEX(T_Performances,MATCH($A159,T_Names,0))</f>
        <v>1</v>
      </c>
      <c r="D159">
        <v>46.7</v>
      </c>
      <c r="E159" s="1">
        <f>INDEX(T_Avg_PPG,MATCH($A159,T_Names,0))</f>
        <v>4.67</v>
      </c>
      <c r="F159">
        <f>1+COUNTIFS(T_Total,"&gt;"&amp;D159,T_Pos,$B159)</f>
        <v>65</v>
      </c>
      <c r="G159">
        <f>1+COUNTIFS(T_Avg_PPG,"&gt;"&amp;E159,T_Pos,$B159)</f>
        <v>83</v>
      </c>
      <c r="H159">
        <f>_xlfn.IFNA(VLOOKUP($A159,PredictionTable,MATCH(H$1,Analysts,0),FALSE),60)</f>
        <v>60</v>
      </c>
      <c r="I159">
        <f>_xlfn.IFNA(VLOOKUP($A159,PredictionTable,MATCH(I$1,Analysts,0),FALSE),60)</f>
        <v>60</v>
      </c>
      <c r="J159">
        <f>_xlfn.IFNA(VLOOKUP($A159,PredictionTable,MATCH(J$1,Analysts,0),FALSE),60)</f>
        <v>60</v>
      </c>
      <c r="K159">
        <f>_xlfn.IFNA(VLOOKUP($A159,PredictionTable,MATCH(K$1,Analysts,0),FALSE),60)</f>
        <v>60</v>
      </c>
      <c r="L159">
        <f>_xlfn.IFNA(VLOOKUP($A159,PredictionTable,MATCH(L$1,Analysts,0),FALSE),60)</f>
        <v>60</v>
      </c>
      <c r="M159">
        <f>_xlfn.IFNA(VLOOKUP($A159,PredictionTable,MATCH(M$1,Analysts,0),FALSE),60)</f>
        <v>60</v>
      </c>
      <c r="N159">
        <f>_xlfn.IFNA(VLOOKUP($A159,PredictionTable,MATCH(N$1,Analysts,0),FALSE),60)</f>
        <v>60</v>
      </c>
      <c r="O159">
        <f>_xlfn.IFNA(VLOOKUP($A159,PredictionTable,MATCH(O$1,Analysts,0),FALSE),60)</f>
        <v>60</v>
      </c>
      <c r="P159">
        <f>_xlfn.IFNA(VLOOKUP($A159,PredictionTable,MATCH(P$1,Analysts,0),FALSE),60)</f>
        <v>60</v>
      </c>
      <c r="V159" s="7" t="s">
        <v>589</v>
      </c>
    </row>
    <row r="160" spans="1:22" x14ac:dyDescent="0.45">
      <c r="A160" s="1" t="s">
        <v>164</v>
      </c>
      <c r="B160" s="1" t="s">
        <v>84</v>
      </c>
      <c r="C160" s="1">
        <f>INDEX(T_Performances,MATCH($A160,T_Names,0))</f>
        <v>2</v>
      </c>
      <c r="D160">
        <v>41.4</v>
      </c>
      <c r="E160" s="1">
        <f>INDEX(T_Avg_PPG,MATCH($A160,T_Names,0))</f>
        <v>5.1749999999999998</v>
      </c>
      <c r="F160">
        <f>1+COUNTIFS(T_Total,"&gt;"&amp;D160,T_Pos,$B160)</f>
        <v>71</v>
      </c>
      <c r="G160">
        <f>1+COUNTIFS(T_Avg_PPG,"&gt;"&amp;E160,T_Pos,$B160)</f>
        <v>77</v>
      </c>
      <c r="H160">
        <f>_xlfn.IFNA(VLOOKUP($A160,PredictionTable,MATCH(H$1,Analysts,0),FALSE),60)</f>
        <v>60</v>
      </c>
      <c r="I160">
        <f>_xlfn.IFNA(VLOOKUP($A160,PredictionTable,MATCH(I$1,Analysts,0),FALSE),60)</f>
        <v>60</v>
      </c>
      <c r="J160">
        <f>_xlfn.IFNA(VLOOKUP($A160,PredictionTable,MATCH(J$1,Analysts,0),FALSE),60)</f>
        <v>60</v>
      </c>
      <c r="K160">
        <f>_xlfn.IFNA(VLOOKUP($A160,PredictionTable,MATCH(K$1,Analysts,0),FALSE),60)</f>
        <v>60</v>
      </c>
      <c r="L160">
        <f>_xlfn.IFNA(VLOOKUP($A160,PredictionTable,MATCH(L$1,Analysts,0),FALSE),60)</f>
        <v>60</v>
      </c>
      <c r="M160">
        <f>_xlfn.IFNA(VLOOKUP($A160,PredictionTable,MATCH(M$1,Analysts,0),FALSE),60)</f>
        <v>60</v>
      </c>
      <c r="N160">
        <f>_xlfn.IFNA(VLOOKUP($A160,PredictionTable,MATCH(N$1,Analysts,0),FALSE),60)</f>
        <v>60</v>
      </c>
      <c r="O160">
        <f>_xlfn.IFNA(VLOOKUP($A160,PredictionTable,MATCH(O$1,Analysts,0),FALSE),60)</f>
        <v>60</v>
      </c>
      <c r="P160">
        <f>_xlfn.IFNA(VLOOKUP($A160,PredictionTable,MATCH(P$1,Analysts,0),FALSE),60)</f>
        <v>60</v>
      </c>
      <c r="V160" s="7" t="s">
        <v>589</v>
      </c>
    </row>
    <row r="161" spans="1:22" x14ac:dyDescent="0.45">
      <c r="A161" s="1" t="s">
        <v>165</v>
      </c>
      <c r="B161" s="1" t="s">
        <v>84</v>
      </c>
      <c r="C161" s="1">
        <f>INDEX(T_Performances,MATCH($A161,T_Names,0))</f>
        <v>2</v>
      </c>
      <c r="D161">
        <v>40.299999999999997</v>
      </c>
      <c r="E161" s="1">
        <f>INDEX(T_Avg_PPG,MATCH($A161,T_Names,0))</f>
        <v>10.074999999999999</v>
      </c>
      <c r="F161">
        <f>1+COUNTIFS(T_Total,"&gt;"&amp;D161,T_Pos,$B161)</f>
        <v>72</v>
      </c>
      <c r="G161">
        <f>1+COUNTIFS(T_Avg_PPG,"&gt;"&amp;E161,T_Pos,$B161)</f>
        <v>34</v>
      </c>
      <c r="H161">
        <f>_xlfn.IFNA(VLOOKUP($A161,PredictionTable,MATCH(H$1,Analysts,0),FALSE),60)</f>
        <v>1</v>
      </c>
      <c r="I161">
        <f>_xlfn.IFNA(VLOOKUP($A161,PredictionTable,MATCH(I$1,Analysts,0),FALSE),60)</f>
        <v>1</v>
      </c>
      <c r="J161">
        <f>_xlfn.IFNA(VLOOKUP($A161,PredictionTable,MATCH(J$1,Analysts,0),FALSE),60)</f>
        <v>1</v>
      </c>
      <c r="K161">
        <f>_xlfn.IFNA(VLOOKUP($A161,PredictionTable,MATCH(K$1,Analysts,0),FALSE),60)</f>
        <v>1</v>
      </c>
      <c r="L161">
        <f>_xlfn.IFNA(VLOOKUP($A161,PredictionTable,MATCH(L$1,Analysts,0),FALSE),60)</f>
        <v>1</v>
      </c>
      <c r="M161">
        <f>_xlfn.IFNA(VLOOKUP($A161,PredictionTable,MATCH(M$1,Analysts,0),FALSE),60)</f>
        <v>1</v>
      </c>
      <c r="N161">
        <f>_xlfn.IFNA(VLOOKUP($A161,PredictionTable,MATCH(N$1,Analysts,0),FALSE),60)</f>
        <v>1</v>
      </c>
      <c r="O161">
        <f>_xlfn.IFNA(VLOOKUP($A161,PredictionTable,MATCH(O$1,Analysts,0),FALSE),60)</f>
        <v>1</v>
      </c>
      <c r="P161">
        <f>_xlfn.IFNA(VLOOKUP($A161,PredictionTable,MATCH(P$1,Analysts,0),FALSE),60)</f>
        <v>1</v>
      </c>
      <c r="V161" s="7" t="s">
        <v>589</v>
      </c>
    </row>
    <row r="162" spans="1:22" x14ac:dyDescent="0.45">
      <c r="A162" s="1" t="s">
        <v>166</v>
      </c>
      <c r="B162" s="1" t="s">
        <v>84</v>
      </c>
      <c r="C162" s="1">
        <f>INDEX(T_Performances,MATCH($A162,T_Names,0))</f>
        <v>1</v>
      </c>
      <c r="D162">
        <v>38.9</v>
      </c>
      <c r="E162" s="1">
        <f>INDEX(T_Avg_PPG,MATCH($A162,T_Names,0))</f>
        <v>7.7799999999999994</v>
      </c>
      <c r="F162">
        <f>1+COUNTIFS(T_Total,"&gt;"&amp;D162,T_Pos,$B162)</f>
        <v>73</v>
      </c>
      <c r="G162">
        <f>1+COUNTIFS(T_Avg_PPG,"&gt;"&amp;E162,T_Pos,$B162)</f>
        <v>48</v>
      </c>
      <c r="H162">
        <f>_xlfn.IFNA(VLOOKUP($A162,PredictionTable,MATCH(H$1,Analysts,0),FALSE),60)</f>
        <v>60</v>
      </c>
      <c r="I162">
        <f>_xlfn.IFNA(VLOOKUP($A162,PredictionTable,MATCH(I$1,Analysts,0),FALSE),60)</f>
        <v>60</v>
      </c>
      <c r="J162">
        <f>_xlfn.IFNA(VLOOKUP($A162,PredictionTable,MATCH(J$1,Analysts,0),FALSE),60)</f>
        <v>60</v>
      </c>
      <c r="K162">
        <f>_xlfn.IFNA(VLOOKUP($A162,PredictionTable,MATCH(K$1,Analysts,0),FALSE),60)</f>
        <v>60</v>
      </c>
      <c r="L162">
        <f>_xlfn.IFNA(VLOOKUP($A162,PredictionTable,MATCH(L$1,Analysts,0),FALSE),60)</f>
        <v>60</v>
      </c>
      <c r="M162">
        <f>_xlfn.IFNA(VLOOKUP($A162,PredictionTable,MATCH(M$1,Analysts,0),FALSE),60)</f>
        <v>60</v>
      </c>
      <c r="N162">
        <f>_xlfn.IFNA(VLOOKUP($A162,PredictionTable,MATCH(N$1,Analysts,0),FALSE),60)</f>
        <v>60</v>
      </c>
      <c r="O162">
        <f>_xlfn.IFNA(VLOOKUP($A162,PredictionTable,MATCH(O$1,Analysts,0),FALSE),60)</f>
        <v>60</v>
      </c>
      <c r="P162">
        <f>_xlfn.IFNA(VLOOKUP($A162,PredictionTable,MATCH(P$1,Analysts,0),FALSE),60)</f>
        <v>60</v>
      </c>
      <c r="V162" s="7" t="s">
        <v>589</v>
      </c>
    </row>
    <row r="163" spans="1:22" x14ac:dyDescent="0.45">
      <c r="A163" s="1" t="s">
        <v>167</v>
      </c>
      <c r="B163" s="1" t="s">
        <v>84</v>
      </c>
      <c r="C163" s="1">
        <f>INDEX(T_Performances,MATCH($A163,T_Names,0))</f>
        <v>0</v>
      </c>
      <c r="D163">
        <v>36.700000000000003</v>
      </c>
      <c r="E163" s="1">
        <f>INDEX(T_Avg_PPG,MATCH($A163,T_Names,0))</f>
        <v>4.0777777777777784</v>
      </c>
      <c r="F163">
        <f>1+COUNTIFS(T_Total,"&gt;"&amp;D163,T_Pos,$B163)</f>
        <v>74</v>
      </c>
      <c r="G163">
        <f>1+COUNTIFS(T_Avg_PPG,"&gt;"&amp;E163,T_Pos,$B163)</f>
        <v>99</v>
      </c>
      <c r="H163">
        <f>_xlfn.IFNA(VLOOKUP($A163,PredictionTable,MATCH(H$1,Analysts,0),FALSE),60)</f>
        <v>60</v>
      </c>
      <c r="I163">
        <f>_xlfn.IFNA(VLOOKUP($A163,PredictionTable,MATCH(I$1,Analysts,0),FALSE),60)</f>
        <v>60</v>
      </c>
      <c r="J163">
        <f>_xlfn.IFNA(VLOOKUP($A163,PredictionTable,MATCH(J$1,Analysts,0),FALSE),60)</f>
        <v>60</v>
      </c>
      <c r="K163">
        <f>_xlfn.IFNA(VLOOKUP($A163,PredictionTable,MATCH(K$1,Analysts,0),FALSE),60)</f>
        <v>60</v>
      </c>
      <c r="L163">
        <f>_xlfn.IFNA(VLOOKUP($A163,PredictionTable,MATCH(L$1,Analysts,0),FALSE),60)</f>
        <v>60</v>
      </c>
      <c r="M163">
        <f>_xlfn.IFNA(VLOOKUP($A163,PredictionTable,MATCH(M$1,Analysts,0),FALSE),60)</f>
        <v>60</v>
      </c>
      <c r="N163">
        <f>_xlfn.IFNA(VLOOKUP($A163,PredictionTable,MATCH(N$1,Analysts,0),FALSE),60)</f>
        <v>60</v>
      </c>
      <c r="O163">
        <f>_xlfn.IFNA(VLOOKUP($A163,PredictionTable,MATCH(O$1,Analysts,0),FALSE),60)</f>
        <v>60</v>
      </c>
      <c r="P163">
        <f>_xlfn.IFNA(VLOOKUP($A163,PredictionTable,MATCH(P$1,Analysts,0),FALSE),60)</f>
        <v>60</v>
      </c>
      <c r="V163" s="7" t="s">
        <v>589</v>
      </c>
    </row>
    <row r="164" spans="1:22" x14ac:dyDescent="0.45">
      <c r="A164" s="1" t="s">
        <v>168</v>
      </c>
      <c r="B164" s="1" t="s">
        <v>84</v>
      </c>
      <c r="C164" s="1">
        <f>INDEX(T_Performances,MATCH($A164,T_Names,0))</f>
        <v>0</v>
      </c>
      <c r="D164">
        <v>31.5</v>
      </c>
      <c r="E164" s="1">
        <f>INDEX(T_Avg_PPG,MATCH($A164,T_Names,0))</f>
        <v>4.5</v>
      </c>
      <c r="F164">
        <f>1+COUNTIFS(T_Total,"&gt;"&amp;D164,T_Pos,$B164)</f>
        <v>76</v>
      </c>
      <c r="G164">
        <f>1+COUNTIFS(T_Avg_PPG,"&gt;"&amp;E164,T_Pos,$B164)</f>
        <v>86</v>
      </c>
      <c r="H164">
        <f>_xlfn.IFNA(VLOOKUP($A164,PredictionTable,MATCH(H$1,Analysts,0),FALSE),60)</f>
        <v>60</v>
      </c>
      <c r="I164">
        <f>_xlfn.IFNA(VLOOKUP($A164,PredictionTable,MATCH(I$1,Analysts,0),FALSE),60)</f>
        <v>60</v>
      </c>
      <c r="J164">
        <f>_xlfn.IFNA(VLOOKUP($A164,PredictionTable,MATCH(J$1,Analysts,0),FALSE),60)</f>
        <v>60</v>
      </c>
      <c r="K164">
        <f>_xlfn.IFNA(VLOOKUP($A164,PredictionTable,MATCH(K$1,Analysts,0),FALSE),60)</f>
        <v>60</v>
      </c>
      <c r="L164">
        <f>_xlfn.IFNA(VLOOKUP($A164,PredictionTable,MATCH(L$1,Analysts,0),FALSE),60)</f>
        <v>60</v>
      </c>
      <c r="M164">
        <f>_xlfn.IFNA(VLOOKUP($A164,PredictionTable,MATCH(M$1,Analysts,0),FALSE),60)</f>
        <v>60</v>
      </c>
      <c r="N164">
        <f>_xlfn.IFNA(VLOOKUP($A164,PredictionTable,MATCH(N$1,Analysts,0),FALSE),60)</f>
        <v>60</v>
      </c>
      <c r="O164">
        <f>_xlfn.IFNA(VLOOKUP($A164,PredictionTable,MATCH(O$1,Analysts,0),FALSE),60)</f>
        <v>60</v>
      </c>
      <c r="P164">
        <f>_xlfn.IFNA(VLOOKUP($A164,PredictionTable,MATCH(P$1,Analysts,0),FALSE),60)</f>
        <v>60</v>
      </c>
      <c r="V164" s="7" t="s">
        <v>589</v>
      </c>
    </row>
    <row r="165" spans="1:22" x14ac:dyDescent="0.45">
      <c r="A165" s="1" t="s">
        <v>169</v>
      </c>
      <c r="B165" s="1" t="s">
        <v>84</v>
      </c>
      <c r="C165" s="1">
        <f>INDEX(T_Performances,MATCH($A165,T_Names,0))</f>
        <v>1</v>
      </c>
      <c r="D165">
        <v>30.2</v>
      </c>
      <c r="E165" s="1">
        <f>INDEX(T_Avg_PPG,MATCH($A165,T_Names,0))</f>
        <v>3.7749999999999999</v>
      </c>
      <c r="F165">
        <f>1+COUNTIFS(T_Total,"&gt;"&amp;D165,T_Pos,$B165)</f>
        <v>80</v>
      </c>
      <c r="G165">
        <f>1+COUNTIFS(T_Avg_PPG,"&gt;"&amp;E165,T_Pos,$B165)</f>
        <v>105</v>
      </c>
      <c r="H165">
        <f>_xlfn.IFNA(VLOOKUP($A165,PredictionTable,MATCH(H$1,Analysts,0),FALSE),60)</f>
        <v>60</v>
      </c>
      <c r="I165">
        <f>_xlfn.IFNA(VLOOKUP($A165,PredictionTable,MATCH(I$1,Analysts,0),FALSE),60)</f>
        <v>60</v>
      </c>
      <c r="J165">
        <f>_xlfn.IFNA(VLOOKUP($A165,PredictionTable,MATCH(J$1,Analysts,0),FALSE),60)</f>
        <v>60</v>
      </c>
      <c r="K165">
        <f>_xlfn.IFNA(VLOOKUP($A165,PredictionTable,MATCH(K$1,Analysts,0),FALSE),60)</f>
        <v>60</v>
      </c>
      <c r="L165">
        <f>_xlfn.IFNA(VLOOKUP($A165,PredictionTable,MATCH(L$1,Analysts,0),FALSE),60)</f>
        <v>60</v>
      </c>
      <c r="M165">
        <f>_xlfn.IFNA(VLOOKUP($A165,PredictionTable,MATCH(M$1,Analysts,0),FALSE),60)</f>
        <v>60</v>
      </c>
      <c r="N165">
        <f>_xlfn.IFNA(VLOOKUP($A165,PredictionTable,MATCH(N$1,Analysts,0),FALSE),60)</f>
        <v>60</v>
      </c>
      <c r="O165">
        <f>_xlfn.IFNA(VLOOKUP($A165,PredictionTable,MATCH(O$1,Analysts,0),FALSE),60)</f>
        <v>60</v>
      </c>
      <c r="P165">
        <f>_xlfn.IFNA(VLOOKUP($A165,PredictionTable,MATCH(P$1,Analysts,0),FALSE),60)</f>
        <v>60</v>
      </c>
      <c r="V165" s="7" t="s">
        <v>589</v>
      </c>
    </row>
    <row r="166" spans="1:22" x14ac:dyDescent="0.45">
      <c r="A166" s="1" t="s">
        <v>170</v>
      </c>
      <c r="B166" s="1" t="s">
        <v>84</v>
      </c>
      <c r="C166" s="1">
        <f>INDEX(T_Performances,MATCH($A166,T_Names,0))</f>
        <v>0</v>
      </c>
      <c r="D166">
        <v>30</v>
      </c>
      <c r="E166" s="1">
        <f>INDEX(T_Avg_PPG,MATCH($A166,T_Names,0))</f>
        <v>2.7272727272727271</v>
      </c>
      <c r="F166">
        <f>1+COUNTIFS(T_Total,"&gt;"&amp;D166,T_Pos,$B166)</f>
        <v>81</v>
      </c>
      <c r="G166">
        <f>1+COUNTIFS(T_Avg_PPG,"&gt;"&amp;E166,T_Pos,$B166)</f>
        <v>117</v>
      </c>
      <c r="H166">
        <f>_xlfn.IFNA(VLOOKUP($A166,PredictionTable,MATCH(H$1,Analysts,0),FALSE),60)</f>
        <v>48</v>
      </c>
      <c r="I166">
        <f>_xlfn.IFNA(VLOOKUP($A166,PredictionTable,MATCH(I$1,Analysts,0),FALSE),60)</f>
        <v>47</v>
      </c>
      <c r="J166">
        <f>_xlfn.IFNA(VLOOKUP($A166,PredictionTable,MATCH(J$1,Analysts,0),FALSE),60)</f>
        <v>45</v>
      </c>
      <c r="K166">
        <f>_xlfn.IFNA(VLOOKUP($A166,PredictionTable,MATCH(K$1,Analysts,0),FALSE),60)</f>
        <v>46</v>
      </c>
      <c r="L166">
        <f>_xlfn.IFNA(VLOOKUP($A166,PredictionTable,MATCH(L$1,Analysts,0),FALSE),60)</f>
        <v>48</v>
      </c>
      <c r="M166">
        <f>_xlfn.IFNA(VLOOKUP($A166,PredictionTable,MATCH(M$1,Analysts,0),FALSE),60)</f>
        <v>45</v>
      </c>
      <c r="N166">
        <f>_xlfn.IFNA(VLOOKUP($A166,PredictionTable,MATCH(N$1,Analysts,0),FALSE),60)</f>
        <v>39</v>
      </c>
      <c r="O166">
        <f>_xlfn.IFNA(VLOOKUP($A166,PredictionTable,MATCH(O$1,Analysts,0),FALSE),60)</f>
        <v>48</v>
      </c>
      <c r="P166">
        <f>_xlfn.IFNA(VLOOKUP($A166,PredictionTable,MATCH(P$1,Analysts,0),FALSE),60)</f>
        <v>45.8</v>
      </c>
      <c r="V166" s="7" t="s">
        <v>589</v>
      </c>
    </row>
    <row r="167" spans="1:22" x14ac:dyDescent="0.45">
      <c r="A167" s="1" t="s">
        <v>171</v>
      </c>
      <c r="B167" s="1" t="s">
        <v>84</v>
      </c>
      <c r="C167" s="1">
        <f>INDEX(T_Performances,MATCH($A167,T_Names,0))</f>
        <v>0</v>
      </c>
      <c r="D167">
        <v>29.6</v>
      </c>
      <c r="E167" s="1">
        <f>INDEX(T_Avg_PPG,MATCH($A167,T_Names,0))</f>
        <v>4.2285714285714286</v>
      </c>
      <c r="F167">
        <f>1+COUNTIFS(T_Total,"&gt;"&amp;D167,T_Pos,$B167)</f>
        <v>83</v>
      </c>
      <c r="G167">
        <f>1+COUNTIFS(T_Avg_PPG,"&gt;"&amp;E167,T_Pos,$B167)</f>
        <v>94</v>
      </c>
      <c r="H167">
        <f>_xlfn.IFNA(VLOOKUP($A167,PredictionTable,MATCH(H$1,Analysts,0),FALSE),60)</f>
        <v>60</v>
      </c>
      <c r="I167">
        <f>_xlfn.IFNA(VLOOKUP($A167,PredictionTable,MATCH(I$1,Analysts,0),FALSE),60)</f>
        <v>60</v>
      </c>
      <c r="J167">
        <f>_xlfn.IFNA(VLOOKUP($A167,PredictionTable,MATCH(J$1,Analysts,0),FALSE),60)</f>
        <v>60</v>
      </c>
      <c r="K167">
        <f>_xlfn.IFNA(VLOOKUP($A167,PredictionTable,MATCH(K$1,Analysts,0),FALSE),60)</f>
        <v>60</v>
      </c>
      <c r="L167">
        <f>_xlfn.IFNA(VLOOKUP($A167,PredictionTable,MATCH(L$1,Analysts,0),FALSE),60)</f>
        <v>60</v>
      </c>
      <c r="M167">
        <f>_xlfn.IFNA(VLOOKUP($A167,PredictionTable,MATCH(M$1,Analysts,0),FALSE),60)</f>
        <v>60</v>
      </c>
      <c r="N167">
        <f>_xlfn.IFNA(VLOOKUP($A167,PredictionTable,MATCH(N$1,Analysts,0),FALSE),60)</f>
        <v>60</v>
      </c>
      <c r="O167">
        <f>_xlfn.IFNA(VLOOKUP($A167,PredictionTable,MATCH(O$1,Analysts,0),FALSE),60)</f>
        <v>60</v>
      </c>
      <c r="P167">
        <f>_xlfn.IFNA(VLOOKUP($A167,PredictionTable,MATCH(P$1,Analysts,0),FALSE),60)</f>
        <v>60</v>
      </c>
      <c r="V167" s="7" t="s">
        <v>589</v>
      </c>
    </row>
    <row r="168" spans="1:22" x14ac:dyDescent="0.45">
      <c r="A168" s="1" t="s">
        <v>172</v>
      </c>
      <c r="B168" s="1" t="s">
        <v>84</v>
      </c>
      <c r="C168" s="1">
        <f>INDEX(T_Performances,MATCH($A168,T_Names,0))</f>
        <v>1</v>
      </c>
      <c r="D168">
        <v>28.3</v>
      </c>
      <c r="E168" s="1">
        <f>INDEX(T_Avg_PPG,MATCH($A168,T_Names,0))</f>
        <v>7.0750000000000002</v>
      </c>
      <c r="F168">
        <f>1+COUNTIFS(T_Total,"&gt;"&amp;D168,T_Pos,$B168)</f>
        <v>84</v>
      </c>
      <c r="G168">
        <f>1+COUNTIFS(T_Avg_PPG,"&gt;"&amp;E168,T_Pos,$B168)</f>
        <v>55</v>
      </c>
      <c r="H168">
        <f>_xlfn.IFNA(VLOOKUP($A168,PredictionTable,MATCH(H$1,Analysts,0),FALSE),60)</f>
        <v>60</v>
      </c>
      <c r="I168">
        <f>_xlfn.IFNA(VLOOKUP($A168,PredictionTable,MATCH(I$1,Analysts,0),FALSE),60)</f>
        <v>60</v>
      </c>
      <c r="J168">
        <f>_xlfn.IFNA(VLOOKUP($A168,PredictionTable,MATCH(J$1,Analysts,0),FALSE),60)</f>
        <v>60</v>
      </c>
      <c r="K168">
        <f>_xlfn.IFNA(VLOOKUP($A168,PredictionTable,MATCH(K$1,Analysts,0),FALSE),60)</f>
        <v>60</v>
      </c>
      <c r="L168">
        <f>_xlfn.IFNA(VLOOKUP($A168,PredictionTable,MATCH(L$1,Analysts,0),FALSE),60)</f>
        <v>60</v>
      </c>
      <c r="M168">
        <f>_xlfn.IFNA(VLOOKUP($A168,PredictionTable,MATCH(M$1,Analysts,0),FALSE),60)</f>
        <v>60</v>
      </c>
      <c r="N168">
        <f>_xlfn.IFNA(VLOOKUP($A168,PredictionTable,MATCH(N$1,Analysts,0),FALSE),60)</f>
        <v>60</v>
      </c>
      <c r="O168">
        <f>_xlfn.IFNA(VLOOKUP($A168,PredictionTable,MATCH(O$1,Analysts,0),FALSE),60)</f>
        <v>60</v>
      </c>
      <c r="P168">
        <f>_xlfn.IFNA(VLOOKUP($A168,PredictionTable,MATCH(P$1,Analysts,0),FALSE),60)</f>
        <v>60</v>
      </c>
      <c r="V168" s="7" t="s">
        <v>589</v>
      </c>
    </row>
    <row r="169" spans="1:22" x14ac:dyDescent="0.45">
      <c r="A169" s="1" t="s">
        <v>173</v>
      </c>
      <c r="B169" s="1" t="s">
        <v>84</v>
      </c>
      <c r="C169" s="1">
        <f>INDEX(T_Performances,MATCH($A169,T_Names,0))</f>
        <v>0</v>
      </c>
      <c r="D169">
        <v>28.2</v>
      </c>
      <c r="E169" s="1">
        <f>INDEX(T_Avg_PPG,MATCH($A169,T_Names,0))</f>
        <v>4.7</v>
      </c>
      <c r="F169">
        <f>1+COUNTIFS(T_Total,"&gt;"&amp;D169,T_Pos,$B169)</f>
        <v>85</v>
      </c>
      <c r="G169">
        <f>1+COUNTIFS(T_Avg_PPG,"&gt;"&amp;E169,T_Pos,$B169)</f>
        <v>81</v>
      </c>
      <c r="H169">
        <f>_xlfn.IFNA(VLOOKUP($A169,PredictionTable,MATCH(H$1,Analysts,0),FALSE),60)</f>
        <v>60</v>
      </c>
      <c r="I169">
        <f>_xlfn.IFNA(VLOOKUP($A169,PredictionTable,MATCH(I$1,Analysts,0),FALSE),60)</f>
        <v>60</v>
      </c>
      <c r="J169">
        <f>_xlfn.IFNA(VLOOKUP($A169,PredictionTable,MATCH(J$1,Analysts,0),FALSE),60)</f>
        <v>60</v>
      </c>
      <c r="K169">
        <f>_xlfn.IFNA(VLOOKUP($A169,PredictionTable,MATCH(K$1,Analysts,0),FALSE),60)</f>
        <v>60</v>
      </c>
      <c r="L169">
        <f>_xlfn.IFNA(VLOOKUP($A169,PredictionTable,MATCH(L$1,Analysts,0),FALSE),60)</f>
        <v>60</v>
      </c>
      <c r="M169">
        <f>_xlfn.IFNA(VLOOKUP($A169,PredictionTable,MATCH(M$1,Analysts,0),FALSE),60)</f>
        <v>60</v>
      </c>
      <c r="N169">
        <f>_xlfn.IFNA(VLOOKUP($A169,PredictionTable,MATCH(N$1,Analysts,0),FALSE),60)</f>
        <v>60</v>
      </c>
      <c r="O169">
        <f>_xlfn.IFNA(VLOOKUP($A169,PredictionTable,MATCH(O$1,Analysts,0),FALSE),60)</f>
        <v>60</v>
      </c>
      <c r="P169">
        <f>_xlfn.IFNA(VLOOKUP($A169,PredictionTable,MATCH(P$1,Analysts,0),FALSE),60)</f>
        <v>60</v>
      </c>
      <c r="V169" s="7" t="s">
        <v>589</v>
      </c>
    </row>
    <row r="170" spans="1:22" x14ac:dyDescent="0.45">
      <c r="A170" s="1" t="s">
        <v>174</v>
      </c>
      <c r="B170" s="1" t="s">
        <v>84</v>
      </c>
      <c r="C170" s="1">
        <f>INDEX(T_Performances,MATCH($A170,T_Names,0))</f>
        <v>1</v>
      </c>
      <c r="D170">
        <v>26.5</v>
      </c>
      <c r="E170" s="1">
        <f>INDEX(T_Avg_PPG,MATCH($A170,T_Names,0))</f>
        <v>5.3</v>
      </c>
      <c r="F170">
        <f>1+COUNTIFS(T_Total,"&gt;"&amp;D170,T_Pos,$B170)</f>
        <v>87</v>
      </c>
      <c r="G170">
        <f>1+COUNTIFS(T_Avg_PPG,"&gt;"&amp;E170,T_Pos,$B170)</f>
        <v>74</v>
      </c>
      <c r="H170">
        <f>_xlfn.IFNA(VLOOKUP($A170,PredictionTable,MATCH(H$1,Analysts,0),FALSE),60)</f>
        <v>60</v>
      </c>
      <c r="I170">
        <f>_xlfn.IFNA(VLOOKUP($A170,PredictionTable,MATCH(I$1,Analysts,0),FALSE),60)</f>
        <v>60</v>
      </c>
      <c r="J170">
        <f>_xlfn.IFNA(VLOOKUP($A170,PredictionTable,MATCH(J$1,Analysts,0),FALSE),60)</f>
        <v>60</v>
      </c>
      <c r="K170">
        <f>_xlfn.IFNA(VLOOKUP($A170,PredictionTable,MATCH(K$1,Analysts,0),FALSE),60)</f>
        <v>60</v>
      </c>
      <c r="L170">
        <f>_xlfn.IFNA(VLOOKUP($A170,PredictionTable,MATCH(L$1,Analysts,0),FALSE),60)</f>
        <v>60</v>
      </c>
      <c r="M170">
        <f>_xlfn.IFNA(VLOOKUP($A170,PredictionTable,MATCH(M$1,Analysts,0),FALSE),60)</f>
        <v>60</v>
      </c>
      <c r="N170">
        <f>_xlfn.IFNA(VLOOKUP($A170,PredictionTable,MATCH(N$1,Analysts,0),FALSE),60)</f>
        <v>60</v>
      </c>
      <c r="O170">
        <f>_xlfn.IFNA(VLOOKUP($A170,PredictionTable,MATCH(O$1,Analysts,0),FALSE),60)</f>
        <v>60</v>
      </c>
      <c r="P170">
        <f>_xlfn.IFNA(VLOOKUP($A170,PredictionTable,MATCH(P$1,Analysts,0),FALSE),60)</f>
        <v>60</v>
      </c>
      <c r="V170" s="7" t="s">
        <v>589</v>
      </c>
    </row>
    <row r="171" spans="1:22" x14ac:dyDescent="0.45">
      <c r="A171" s="1" t="s">
        <v>175</v>
      </c>
      <c r="B171" s="1" t="s">
        <v>84</v>
      </c>
      <c r="C171" s="1">
        <f>INDEX(T_Performances,MATCH($A171,T_Names,0))</f>
        <v>0</v>
      </c>
      <c r="D171">
        <v>26.3</v>
      </c>
      <c r="E171" s="1">
        <f>INDEX(T_Avg_PPG,MATCH($A171,T_Names,0))</f>
        <v>4.3833333333333337</v>
      </c>
      <c r="F171">
        <f>1+COUNTIFS(T_Total,"&gt;"&amp;D171,T_Pos,$B171)</f>
        <v>88</v>
      </c>
      <c r="G171">
        <f>1+COUNTIFS(T_Avg_PPG,"&gt;"&amp;E171,T_Pos,$B171)</f>
        <v>91</v>
      </c>
      <c r="H171">
        <f>_xlfn.IFNA(VLOOKUP($A171,PredictionTable,MATCH(H$1,Analysts,0),FALSE),60)</f>
        <v>23</v>
      </c>
      <c r="I171">
        <f>_xlfn.IFNA(VLOOKUP($A171,PredictionTable,MATCH(I$1,Analysts,0),FALSE),60)</f>
        <v>22</v>
      </c>
      <c r="J171">
        <f>_xlfn.IFNA(VLOOKUP($A171,PredictionTable,MATCH(J$1,Analysts,0),FALSE),60)</f>
        <v>22</v>
      </c>
      <c r="K171">
        <f>_xlfn.IFNA(VLOOKUP($A171,PredictionTable,MATCH(K$1,Analysts,0),FALSE),60)</f>
        <v>20</v>
      </c>
      <c r="L171">
        <f>_xlfn.IFNA(VLOOKUP($A171,PredictionTable,MATCH(L$1,Analysts,0),FALSE),60)</f>
        <v>23</v>
      </c>
      <c r="M171">
        <f>_xlfn.IFNA(VLOOKUP($A171,PredictionTable,MATCH(M$1,Analysts,0),FALSE),60)</f>
        <v>24</v>
      </c>
      <c r="N171">
        <f>_xlfn.IFNA(VLOOKUP($A171,PredictionTable,MATCH(N$1,Analysts,0),FALSE),60)</f>
        <v>22</v>
      </c>
      <c r="O171">
        <f>_xlfn.IFNA(VLOOKUP($A171,PredictionTable,MATCH(O$1,Analysts,0),FALSE),60)</f>
        <v>25</v>
      </c>
      <c r="P171">
        <f>_xlfn.IFNA(VLOOKUP($A171,PredictionTable,MATCH(P$1,Analysts,0),FALSE),60)</f>
        <v>22.6</v>
      </c>
      <c r="V171" s="7" t="s">
        <v>589</v>
      </c>
    </row>
    <row r="172" spans="1:22" x14ac:dyDescent="0.45">
      <c r="A172" s="1" t="s">
        <v>176</v>
      </c>
      <c r="B172" s="1" t="s">
        <v>84</v>
      </c>
      <c r="C172" s="1">
        <f>INDEX(T_Performances,MATCH($A172,T_Names,0))</f>
        <v>0</v>
      </c>
      <c r="D172">
        <v>25.4</v>
      </c>
      <c r="E172" s="1">
        <f>INDEX(T_Avg_PPG,MATCH($A172,T_Names,0))</f>
        <v>4.2333333333333334</v>
      </c>
      <c r="F172">
        <f>1+COUNTIFS(T_Total,"&gt;"&amp;D172,T_Pos,$B172)</f>
        <v>89</v>
      </c>
      <c r="G172">
        <f>1+COUNTIFS(T_Avg_PPG,"&gt;"&amp;E172,T_Pos,$B172)</f>
        <v>93</v>
      </c>
      <c r="H172">
        <f>_xlfn.IFNA(VLOOKUP($A172,PredictionTable,MATCH(H$1,Analysts,0),FALSE),60)</f>
        <v>47</v>
      </c>
      <c r="I172">
        <f>_xlfn.IFNA(VLOOKUP($A172,PredictionTable,MATCH(I$1,Analysts,0),FALSE),60)</f>
        <v>44</v>
      </c>
      <c r="J172">
        <f>_xlfn.IFNA(VLOOKUP($A172,PredictionTable,MATCH(J$1,Analysts,0),FALSE),60)</f>
        <v>46</v>
      </c>
      <c r="K172">
        <f>_xlfn.IFNA(VLOOKUP($A172,PredictionTable,MATCH(K$1,Analysts,0),FALSE),60)</f>
        <v>45</v>
      </c>
      <c r="L172">
        <f>_xlfn.IFNA(VLOOKUP($A172,PredictionTable,MATCH(L$1,Analysts,0),FALSE),60)</f>
        <v>50</v>
      </c>
      <c r="M172">
        <f>_xlfn.IFNA(VLOOKUP($A172,PredictionTable,MATCH(M$1,Analysts,0),FALSE),60)</f>
        <v>43</v>
      </c>
      <c r="N172">
        <f>_xlfn.IFNA(VLOOKUP($A172,PredictionTable,MATCH(N$1,Analysts,0),FALSE),60)</f>
        <v>47</v>
      </c>
      <c r="O172">
        <f>_xlfn.IFNA(VLOOKUP($A172,PredictionTable,MATCH(O$1,Analysts,0),FALSE),60)</f>
        <v>46</v>
      </c>
      <c r="P172">
        <f>_xlfn.IFNA(VLOOKUP($A172,PredictionTable,MATCH(P$1,Analysts,0),FALSE),60)</f>
        <v>46</v>
      </c>
      <c r="V172" s="7" t="s">
        <v>589</v>
      </c>
    </row>
    <row r="173" spans="1:22" x14ac:dyDescent="0.45">
      <c r="A173" s="1" t="s">
        <v>177</v>
      </c>
      <c r="B173" s="1" t="s">
        <v>84</v>
      </c>
      <c r="C173" s="1">
        <f>INDEX(T_Performances,MATCH($A173,T_Names,0))</f>
        <v>0</v>
      </c>
      <c r="D173">
        <v>25.2</v>
      </c>
      <c r="E173" s="1">
        <f>INDEX(T_Avg_PPG,MATCH($A173,T_Names,0))</f>
        <v>3.15</v>
      </c>
      <c r="F173">
        <f>1+COUNTIFS(T_Total,"&gt;"&amp;D173,T_Pos,$B173)</f>
        <v>90</v>
      </c>
      <c r="G173">
        <f>1+COUNTIFS(T_Avg_PPG,"&gt;"&amp;E173,T_Pos,$B173)</f>
        <v>112</v>
      </c>
      <c r="H173">
        <f>_xlfn.IFNA(VLOOKUP($A173,PredictionTable,MATCH(H$1,Analysts,0),FALSE),60)</f>
        <v>60</v>
      </c>
      <c r="I173">
        <f>_xlfn.IFNA(VLOOKUP($A173,PredictionTable,MATCH(I$1,Analysts,0),FALSE),60)</f>
        <v>60</v>
      </c>
      <c r="J173">
        <f>_xlfn.IFNA(VLOOKUP($A173,PredictionTable,MATCH(J$1,Analysts,0),FALSE),60)</f>
        <v>60</v>
      </c>
      <c r="K173">
        <f>_xlfn.IFNA(VLOOKUP($A173,PredictionTable,MATCH(K$1,Analysts,0),FALSE),60)</f>
        <v>60</v>
      </c>
      <c r="L173">
        <f>_xlfn.IFNA(VLOOKUP($A173,PredictionTable,MATCH(L$1,Analysts,0),FALSE),60)</f>
        <v>60</v>
      </c>
      <c r="M173">
        <f>_xlfn.IFNA(VLOOKUP($A173,PredictionTable,MATCH(M$1,Analysts,0),FALSE),60)</f>
        <v>60</v>
      </c>
      <c r="N173">
        <f>_xlfn.IFNA(VLOOKUP($A173,PredictionTable,MATCH(N$1,Analysts,0),FALSE),60)</f>
        <v>60</v>
      </c>
      <c r="O173">
        <f>_xlfn.IFNA(VLOOKUP($A173,PredictionTable,MATCH(O$1,Analysts,0),FALSE),60)</f>
        <v>60</v>
      </c>
      <c r="P173">
        <f>_xlfn.IFNA(VLOOKUP($A173,PredictionTable,MATCH(P$1,Analysts,0),FALSE),60)</f>
        <v>60</v>
      </c>
      <c r="V173" s="7" t="s">
        <v>589</v>
      </c>
    </row>
    <row r="174" spans="1:22" x14ac:dyDescent="0.45">
      <c r="A174" s="1" t="s">
        <v>178</v>
      </c>
      <c r="B174" s="1" t="s">
        <v>84</v>
      </c>
      <c r="C174" s="1">
        <f>INDEX(T_Performances,MATCH($A174,T_Names,0))</f>
        <v>1</v>
      </c>
      <c r="D174">
        <v>23.8</v>
      </c>
      <c r="E174" s="1">
        <f>INDEX(T_Avg_PPG,MATCH($A174,T_Names,0))</f>
        <v>4.76</v>
      </c>
      <c r="F174">
        <f>1+COUNTIFS(T_Total,"&gt;"&amp;D174,T_Pos,$B174)</f>
        <v>93</v>
      </c>
      <c r="G174">
        <f>1+COUNTIFS(T_Avg_PPG,"&gt;"&amp;E174,T_Pos,$B174)</f>
        <v>80</v>
      </c>
      <c r="H174">
        <f>_xlfn.IFNA(VLOOKUP($A174,PredictionTable,MATCH(H$1,Analysts,0),FALSE),60)</f>
        <v>60</v>
      </c>
      <c r="I174">
        <f>_xlfn.IFNA(VLOOKUP($A174,PredictionTable,MATCH(I$1,Analysts,0),FALSE),60)</f>
        <v>60</v>
      </c>
      <c r="J174">
        <f>_xlfn.IFNA(VLOOKUP($A174,PredictionTable,MATCH(J$1,Analysts,0),FALSE),60)</f>
        <v>60</v>
      </c>
      <c r="K174">
        <f>_xlfn.IFNA(VLOOKUP($A174,PredictionTable,MATCH(K$1,Analysts,0),FALSE),60)</f>
        <v>60</v>
      </c>
      <c r="L174">
        <f>_xlfn.IFNA(VLOOKUP($A174,PredictionTable,MATCH(L$1,Analysts,0),FALSE),60)</f>
        <v>60</v>
      </c>
      <c r="M174">
        <f>_xlfn.IFNA(VLOOKUP($A174,PredictionTable,MATCH(M$1,Analysts,0),FALSE),60)</f>
        <v>60</v>
      </c>
      <c r="N174">
        <f>_xlfn.IFNA(VLOOKUP($A174,PredictionTable,MATCH(N$1,Analysts,0),FALSE),60)</f>
        <v>60</v>
      </c>
      <c r="O174">
        <f>_xlfn.IFNA(VLOOKUP($A174,PredictionTable,MATCH(O$1,Analysts,0),FALSE),60)</f>
        <v>60</v>
      </c>
      <c r="P174">
        <f>_xlfn.IFNA(VLOOKUP($A174,PredictionTable,MATCH(P$1,Analysts,0),FALSE),60)</f>
        <v>60</v>
      </c>
      <c r="V174" s="7" t="s">
        <v>589</v>
      </c>
    </row>
    <row r="175" spans="1:22" x14ac:dyDescent="0.45">
      <c r="A175" s="1" t="s">
        <v>179</v>
      </c>
      <c r="B175" s="1" t="s">
        <v>84</v>
      </c>
      <c r="C175" s="1">
        <f>INDEX(T_Performances,MATCH($A175,T_Names,0))</f>
        <v>0</v>
      </c>
      <c r="D175">
        <v>20.9</v>
      </c>
      <c r="E175" s="1">
        <f>INDEX(T_Avg_PPG,MATCH($A175,T_Names,0))</f>
        <v>4.18</v>
      </c>
      <c r="F175">
        <f>1+COUNTIFS(T_Total,"&gt;"&amp;D175,T_Pos,$B175)</f>
        <v>94</v>
      </c>
      <c r="G175">
        <f>1+COUNTIFS(T_Avg_PPG,"&gt;"&amp;E175,T_Pos,$B175)</f>
        <v>97</v>
      </c>
      <c r="H175">
        <f>_xlfn.IFNA(VLOOKUP($A175,PredictionTable,MATCH(H$1,Analysts,0),FALSE),60)</f>
        <v>60</v>
      </c>
      <c r="I175">
        <f>_xlfn.IFNA(VLOOKUP($A175,PredictionTable,MATCH(I$1,Analysts,0),FALSE),60)</f>
        <v>60</v>
      </c>
      <c r="J175">
        <f>_xlfn.IFNA(VLOOKUP($A175,PredictionTable,MATCH(J$1,Analysts,0),FALSE),60)</f>
        <v>60</v>
      </c>
      <c r="K175">
        <f>_xlfn.IFNA(VLOOKUP($A175,PredictionTable,MATCH(K$1,Analysts,0),FALSE),60)</f>
        <v>60</v>
      </c>
      <c r="L175">
        <f>_xlfn.IFNA(VLOOKUP($A175,PredictionTable,MATCH(L$1,Analysts,0),FALSE),60)</f>
        <v>60</v>
      </c>
      <c r="M175">
        <f>_xlfn.IFNA(VLOOKUP($A175,PredictionTable,MATCH(M$1,Analysts,0),FALSE),60)</f>
        <v>60</v>
      </c>
      <c r="N175">
        <f>_xlfn.IFNA(VLOOKUP($A175,PredictionTable,MATCH(N$1,Analysts,0),FALSE),60)</f>
        <v>60</v>
      </c>
      <c r="O175">
        <f>_xlfn.IFNA(VLOOKUP($A175,PredictionTable,MATCH(O$1,Analysts,0),FALSE),60)</f>
        <v>60</v>
      </c>
      <c r="P175">
        <f>_xlfn.IFNA(VLOOKUP($A175,PredictionTable,MATCH(P$1,Analysts,0),FALSE),60)</f>
        <v>60</v>
      </c>
      <c r="V175" s="7" t="s">
        <v>589</v>
      </c>
    </row>
    <row r="176" spans="1:22" x14ac:dyDescent="0.45">
      <c r="A176" s="1" t="s">
        <v>180</v>
      </c>
      <c r="B176" s="1" t="s">
        <v>84</v>
      </c>
      <c r="C176" s="1">
        <f>INDEX(T_Performances,MATCH($A176,T_Names,0))</f>
        <v>0</v>
      </c>
      <c r="D176">
        <v>20.9</v>
      </c>
      <c r="E176" s="1">
        <f>INDEX(T_Avg_PPG,MATCH($A176,T_Names,0))</f>
        <v>2.9857142857142853</v>
      </c>
      <c r="F176">
        <f>1+COUNTIFS(T_Total,"&gt;"&amp;D176,T_Pos,$B176)</f>
        <v>94</v>
      </c>
      <c r="G176">
        <f>1+COUNTIFS(T_Avg_PPG,"&gt;"&amp;E176,T_Pos,$B176)</f>
        <v>114</v>
      </c>
      <c r="H176">
        <f>_xlfn.IFNA(VLOOKUP($A176,PredictionTable,MATCH(H$1,Analysts,0),FALSE),60)</f>
        <v>60</v>
      </c>
      <c r="I176">
        <f>_xlfn.IFNA(VLOOKUP($A176,PredictionTable,MATCH(I$1,Analysts,0),FALSE),60)</f>
        <v>60</v>
      </c>
      <c r="J176">
        <f>_xlfn.IFNA(VLOOKUP($A176,PredictionTable,MATCH(J$1,Analysts,0),FALSE),60)</f>
        <v>60</v>
      </c>
      <c r="K176">
        <f>_xlfn.IFNA(VLOOKUP($A176,PredictionTable,MATCH(K$1,Analysts,0),FALSE),60)</f>
        <v>60</v>
      </c>
      <c r="L176">
        <f>_xlfn.IFNA(VLOOKUP($A176,PredictionTable,MATCH(L$1,Analysts,0),FALSE),60)</f>
        <v>60</v>
      </c>
      <c r="M176">
        <f>_xlfn.IFNA(VLOOKUP($A176,PredictionTable,MATCH(M$1,Analysts,0),FALSE),60)</f>
        <v>60</v>
      </c>
      <c r="N176">
        <f>_xlfn.IFNA(VLOOKUP($A176,PredictionTable,MATCH(N$1,Analysts,0),FALSE),60)</f>
        <v>60</v>
      </c>
      <c r="O176">
        <f>_xlfn.IFNA(VLOOKUP($A176,PredictionTable,MATCH(O$1,Analysts,0),FALSE),60)</f>
        <v>60</v>
      </c>
      <c r="P176">
        <f>_xlfn.IFNA(VLOOKUP($A176,PredictionTable,MATCH(P$1,Analysts,0),FALSE),60)</f>
        <v>60</v>
      </c>
      <c r="V176" s="7" t="s">
        <v>589</v>
      </c>
    </row>
    <row r="177" spans="1:22" x14ac:dyDescent="0.45">
      <c r="A177" s="1" t="s">
        <v>181</v>
      </c>
      <c r="B177" s="1" t="s">
        <v>84</v>
      </c>
      <c r="C177" s="1">
        <f>INDEX(T_Performances,MATCH($A177,T_Names,0))</f>
        <v>0</v>
      </c>
      <c r="D177">
        <v>20.8</v>
      </c>
      <c r="E177" s="1">
        <f>INDEX(T_Avg_PPG,MATCH($A177,T_Names,0))</f>
        <v>4.16</v>
      </c>
      <c r="F177">
        <f>1+COUNTIFS(T_Total,"&gt;"&amp;D177,T_Pos,$B177)</f>
        <v>96</v>
      </c>
      <c r="G177">
        <f>1+COUNTIFS(T_Avg_PPG,"&gt;"&amp;E177,T_Pos,$B177)</f>
        <v>98</v>
      </c>
      <c r="H177">
        <f>_xlfn.IFNA(VLOOKUP($A177,PredictionTable,MATCH(H$1,Analysts,0),FALSE),60)</f>
        <v>60</v>
      </c>
      <c r="I177">
        <f>_xlfn.IFNA(VLOOKUP($A177,PredictionTable,MATCH(I$1,Analysts,0),FALSE),60)</f>
        <v>60</v>
      </c>
      <c r="J177">
        <f>_xlfn.IFNA(VLOOKUP($A177,PredictionTable,MATCH(J$1,Analysts,0),FALSE),60)</f>
        <v>60</v>
      </c>
      <c r="K177">
        <f>_xlfn.IFNA(VLOOKUP($A177,PredictionTable,MATCH(K$1,Analysts,0),FALSE),60)</f>
        <v>60</v>
      </c>
      <c r="L177">
        <f>_xlfn.IFNA(VLOOKUP($A177,PredictionTable,MATCH(L$1,Analysts,0),FALSE),60)</f>
        <v>60</v>
      </c>
      <c r="M177">
        <f>_xlfn.IFNA(VLOOKUP($A177,PredictionTable,MATCH(M$1,Analysts,0),FALSE),60)</f>
        <v>60</v>
      </c>
      <c r="N177">
        <f>_xlfn.IFNA(VLOOKUP($A177,PredictionTable,MATCH(N$1,Analysts,0),FALSE),60)</f>
        <v>60</v>
      </c>
      <c r="O177">
        <f>_xlfn.IFNA(VLOOKUP($A177,PredictionTable,MATCH(O$1,Analysts,0),FALSE),60)</f>
        <v>60</v>
      </c>
      <c r="P177">
        <f>_xlfn.IFNA(VLOOKUP($A177,PredictionTable,MATCH(P$1,Analysts,0),FALSE),60)</f>
        <v>60</v>
      </c>
      <c r="V177" s="7" t="s">
        <v>589</v>
      </c>
    </row>
    <row r="178" spans="1:22" x14ac:dyDescent="0.45">
      <c r="A178" s="1" t="s">
        <v>182</v>
      </c>
      <c r="B178" s="1" t="s">
        <v>84</v>
      </c>
      <c r="C178" s="1">
        <f>INDEX(T_Performances,MATCH($A178,T_Names,0))</f>
        <v>0</v>
      </c>
      <c r="D178">
        <v>20.399999999999999</v>
      </c>
      <c r="E178" s="1">
        <f>INDEX(T_Avg_PPG,MATCH($A178,T_Names,0))</f>
        <v>2.9142857142857141</v>
      </c>
      <c r="F178">
        <f>1+COUNTIFS(T_Total,"&gt;"&amp;D178,T_Pos,$B178)</f>
        <v>97</v>
      </c>
      <c r="G178">
        <f>1+COUNTIFS(T_Avg_PPG,"&gt;"&amp;E178,T_Pos,$B178)</f>
        <v>115</v>
      </c>
      <c r="H178">
        <f>_xlfn.IFNA(VLOOKUP($A178,PredictionTable,MATCH(H$1,Analysts,0),FALSE),60)</f>
        <v>60</v>
      </c>
      <c r="I178">
        <f>_xlfn.IFNA(VLOOKUP($A178,PredictionTable,MATCH(I$1,Analysts,0),FALSE),60)</f>
        <v>60</v>
      </c>
      <c r="J178">
        <f>_xlfn.IFNA(VLOOKUP($A178,PredictionTable,MATCH(J$1,Analysts,0),FALSE),60)</f>
        <v>60</v>
      </c>
      <c r="K178">
        <f>_xlfn.IFNA(VLOOKUP($A178,PredictionTable,MATCH(K$1,Analysts,0),FALSE),60)</f>
        <v>60</v>
      </c>
      <c r="L178">
        <f>_xlfn.IFNA(VLOOKUP($A178,PredictionTable,MATCH(L$1,Analysts,0),FALSE),60)</f>
        <v>60</v>
      </c>
      <c r="M178">
        <f>_xlfn.IFNA(VLOOKUP($A178,PredictionTable,MATCH(M$1,Analysts,0),FALSE),60)</f>
        <v>60</v>
      </c>
      <c r="N178">
        <f>_xlfn.IFNA(VLOOKUP($A178,PredictionTable,MATCH(N$1,Analysts,0),FALSE),60)</f>
        <v>60</v>
      </c>
      <c r="O178">
        <f>_xlfn.IFNA(VLOOKUP($A178,PredictionTable,MATCH(O$1,Analysts,0),FALSE),60)</f>
        <v>60</v>
      </c>
      <c r="P178">
        <f>_xlfn.IFNA(VLOOKUP($A178,PredictionTable,MATCH(P$1,Analysts,0),FALSE),60)</f>
        <v>60</v>
      </c>
      <c r="V178" s="7" t="s">
        <v>589</v>
      </c>
    </row>
    <row r="179" spans="1:22" x14ac:dyDescent="0.45">
      <c r="A179" s="1" t="s">
        <v>183</v>
      </c>
      <c r="B179" s="1" t="s">
        <v>84</v>
      </c>
      <c r="C179" s="1">
        <f>INDEX(T_Performances,MATCH($A179,T_Names,0))</f>
        <v>0</v>
      </c>
      <c r="D179">
        <v>20.100000000000001</v>
      </c>
      <c r="E179" s="1">
        <f>INDEX(T_Avg_PPG,MATCH($A179,T_Names,0))</f>
        <v>3.35</v>
      </c>
      <c r="F179">
        <f>1+COUNTIFS(T_Total,"&gt;"&amp;D179,T_Pos,$B179)</f>
        <v>98</v>
      </c>
      <c r="G179">
        <f>1+COUNTIFS(T_Avg_PPG,"&gt;"&amp;E179,T_Pos,$B179)</f>
        <v>109</v>
      </c>
      <c r="H179">
        <f>_xlfn.IFNA(VLOOKUP($A179,PredictionTable,MATCH(H$1,Analysts,0),FALSE),60)</f>
        <v>60</v>
      </c>
      <c r="I179">
        <f>_xlfn.IFNA(VLOOKUP($A179,PredictionTable,MATCH(I$1,Analysts,0),FALSE),60)</f>
        <v>60</v>
      </c>
      <c r="J179">
        <f>_xlfn.IFNA(VLOOKUP($A179,PredictionTable,MATCH(J$1,Analysts,0),FALSE),60)</f>
        <v>60</v>
      </c>
      <c r="K179">
        <f>_xlfn.IFNA(VLOOKUP($A179,PredictionTable,MATCH(K$1,Analysts,0),FALSE),60)</f>
        <v>60</v>
      </c>
      <c r="L179">
        <f>_xlfn.IFNA(VLOOKUP($A179,PredictionTable,MATCH(L$1,Analysts,0),FALSE),60)</f>
        <v>60</v>
      </c>
      <c r="M179">
        <f>_xlfn.IFNA(VLOOKUP($A179,PredictionTable,MATCH(M$1,Analysts,0),FALSE),60)</f>
        <v>60</v>
      </c>
      <c r="N179">
        <f>_xlfn.IFNA(VLOOKUP($A179,PredictionTable,MATCH(N$1,Analysts,0),FALSE),60)</f>
        <v>60</v>
      </c>
      <c r="O179">
        <f>_xlfn.IFNA(VLOOKUP($A179,PredictionTable,MATCH(O$1,Analysts,0),FALSE),60)</f>
        <v>60</v>
      </c>
      <c r="P179">
        <f>_xlfn.IFNA(VLOOKUP($A179,PredictionTable,MATCH(P$1,Analysts,0),FALSE),60)</f>
        <v>60</v>
      </c>
      <c r="V179" s="7" t="s">
        <v>589</v>
      </c>
    </row>
    <row r="180" spans="1:22" x14ac:dyDescent="0.45">
      <c r="A180" s="1" t="s">
        <v>184</v>
      </c>
      <c r="B180" s="1" t="s">
        <v>84</v>
      </c>
      <c r="C180" s="1">
        <f>INDEX(T_Performances,MATCH($A180,T_Names,0))</f>
        <v>0</v>
      </c>
      <c r="D180">
        <v>19.399999999999999</v>
      </c>
      <c r="E180" s="1">
        <f>INDEX(T_Avg_PPG,MATCH($A180,T_Names,0))</f>
        <v>3.88</v>
      </c>
      <c r="F180">
        <f>1+COUNTIFS(T_Total,"&gt;"&amp;D180,T_Pos,$B180)</f>
        <v>99</v>
      </c>
      <c r="G180">
        <f>1+COUNTIFS(T_Avg_PPG,"&gt;"&amp;E180,T_Pos,$B180)</f>
        <v>104</v>
      </c>
      <c r="H180">
        <f>_xlfn.IFNA(VLOOKUP($A180,PredictionTable,MATCH(H$1,Analysts,0),FALSE),60)</f>
        <v>60</v>
      </c>
      <c r="I180">
        <f>_xlfn.IFNA(VLOOKUP($A180,PredictionTable,MATCH(I$1,Analysts,0),FALSE),60)</f>
        <v>60</v>
      </c>
      <c r="J180">
        <f>_xlfn.IFNA(VLOOKUP($A180,PredictionTable,MATCH(J$1,Analysts,0),FALSE),60)</f>
        <v>60</v>
      </c>
      <c r="K180">
        <f>_xlfn.IFNA(VLOOKUP($A180,PredictionTable,MATCH(K$1,Analysts,0),FALSE),60)</f>
        <v>60</v>
      </c>
      <c r="L180">
        <f>_xlfn.IFNA(VLOOKUP($A180,PredictionTable,MATCH(L$1,Analysts,0),FALSE),60)</f>
        <v>60</v>
      </c>
      <c r="M180">
        <f>_xlfn.IFNA(VLOOKUP($A180,PredictionTable,MATCH(M$1,Analysts,0),FALSE),60)</f>
        <v>60</v>
      </c>
      <c r="N180">
        <f>_xlfn.IFNA(VLOOKUP($A180,PredictionTable,MATCH(N$1,Analysts,0),FALSE),60)</f>
        <v>60</v>
      </c>
      <c r="O180">
        <f>_xlfn.IFNA(VLOOKUP($A180,PredictionTable,MATCH(O$1,Analysts,0),FALSE),60)</f>
        <v>60</v>
      </c>
      <c r="P180">
        <f>_xlfn.IFNA(VLOOKUP($A180,PredictionTable,MATCH(P$1,Analysts,0),FALSE),60)</f>
        <v>60</v>
      </c>
      <c r="V180" s="7" t="s">
        <v>589</v>
      </c>
    </row>
    <row r="181" spans="1:22" x14ac:dyDescent="0.45">
      <c r="A181" s="1" t="s">
        <v>185</v>
      </c>
      <c r="B181" s="1" t="s">
        <v>84</v>
      </c>
      <c r="C181" s="1">
        <f>INDEX(T_Performances,MATCH($A181,T_Names,0))</f>
        <v>0</v>
      </c>
      <c r="D181">
        <v>15.7</v>
      </c>
      <c r="E181" s="1">
        <f>INDEX(T_Avg_PPG,MATCH($A181,T_Names,0))</f>
        <v>5.2333333333333334</v>
      </c>
      <c r="F181">
        <f>1+COUNTIFS(T_Total,"&gt;"&amp;D181,T_Pos,$B181)</f>
        <v>101</v>
      </c>
      <c r="G181">
        <f>1+COUNTIFS(T_Avg_PPG,"&gt;"&amp;E181,T_Pos,$B181)</f>
        <v>76</v>
      </c>
      <c r="H181">
        <f>_xlfn.IFNA(VLOOKUP($A181,PredictionTable,MATCH(H$1,Analysts,0),FALSE),60)</f>
        <v>60</v>
      </c>
      <c r="I181">
        <f>_xlfn.IFNA(VLOOKUP($A181,PredictionTable,MATCH(I$1,Analysts,0),FALSE),60)</f>
        <v>60</v>
      </c>
      <c r="J181">
        <f>_xlfn.IFNA(VLOOKUP($A181,PredictionTable,MATCH(J$1,Analysts,0),FALSE),60)</f>
        <v>60</v>
      </c>
      <c r="K181">
        <f>_xlfn.IFNA(VLOOKUP($A181,PredictionTable,MATCH(K$1,Analysts,0),FALSE),60)</f>
        <v>60</v>
      </c>
      <c r="L181">
        <f>_xlfn.IFNA(VLOOKUP($A181,PredictionTable,MATCH(L$1,Analysts,0),FALSE),60)</f>
        <v>60</v>
      </c>
      <c r="M181">
        <f>_xlfn.IFNA(VLOOKUP($A181,PredictionTable,MATCH(M$1,Analysts,0),FALSE),60)</f>
        <v>60</v>
      </c>
      <c r="N181">
        <f>_xlfn.IFNA(VLOOKUP($A181,PredictionTable,MATCH(N$1,Analysts,0),FALSE),60)</f>
        <v>60</v>
      </c>
      <c r="O181">
        <f>_xlfn.IFNA(VLOOKUP($A181,PredictionTable,MATCH(O$1,Analysts,0),FALSE),60)</f>
        <v>60</v>
      </c>
      <c r="P181">
        <f>_xlfn.IFNA(VLOOKUP($A181,PredictionTable,MATCH(P$1,Analysts,0),FALSE),60)</f>
        <v>60</v>
      </c>
      <c r="V181" s="7" t="s">
        <v>589</v>
      </c>
    </row>
    <row r="182" spans="1:22" x14ac:dyDescent="0.45">
      <c r="A182" s="1" t="s">
        <v>186</v>
      </c>
      <c r="B182" s="1" t="s">
        <v>84</v>
      </c>
      <c r="C182" s="1">
        <f>INDEX(T_Performances,MATCH($A182,T_Names,0))</f>
        <v>0</v>
      </c>
      <c r="D182">
        <v>13.7</v>
      </c>
      <c r="E182" s="1">
        <f>INDEX(T_Avg_PPG,MATCH($A182,T_Names,0))</f>
        <v>4.5666666666666664</v>
      </c>
      <c r="F182">
        <f>1+COUNTIFS(T_Total,"&gt;"&amp;D182,T_Pos,$B182)</f>
        <v>102</v>
      </c>
      <c r="G182">
        <f>1+COUNTIFS(T_Avg_PPG,"&gt;"&amp;E182,T_Pos,$B182)</f>
        <v>85</v>
      </c>
      <c r="H182">
        <f>_xlfn.IFNA(VLOOKUP($A182,PredictionTable,MATCH(H$1,Analysts,0),FALSE),60)</f>
        <v>60</v>
      </c>
      <c r="I182">
        <f>_xlfn.IFNA(VLOOKUP($A182,PredictionTable,MATCH(I$1,Analysts,0),FALSE),60)</f>
        <v>60</v>
      </c>
      <c r="J182">
        <f>_xlfn.IFNA(VLOOKUP($A182,PredictionTable,MATCH(J$1,Analysts,0),FALSE),60)</f>
        <v>60</v>
      </c>
      <c r="K182">
        <f>_xlfn.IFNA(VLOOKUP($A182,PredictionTable,MATCH(K$1,Analysts,0),FALSE),60)</f>
        <v>60</v>
      </c>
      <c r="L182">
        <f>_xlfn.IFNA(VLOOKUP($A182,PredictionTable,MATCH(L$1,Analysts,0),FALSE),60)</f>
        <v>60</v>
      </c>
      <c r="M182">
        <f>_xlfn.IFNA(VLOOKUP($A182,PredictionTable,MATCH(M$1,Analysts,0),FALSE),60)</f>
        <v>60</v>
      </c>
      <c r="N182">
        <f>_xlfn.IFNA(VLOOKUP($A182,PredictionTable,MATCH(N$1,Analysts,0),FALSE),60)</f>
        <v>60</v>
      </c>
      <c r="O182">
        <f>_xlfn.IFNA(VLOOKUP($A182,PredictionTable,MATCH(O$1,Analysts,0),FALSE),60)</f>
        <v>60</v>
      </c>
      <c r="P182">
        <f>_xlfn.IFNA(VLOOKUP($A182,PredictionTable,MATCH(P$1,Analysts,0),FALSE),60)</f>
        <v>60</v>
      </c>
      <c r="V182" s="7" t="s">
        <v>589</v>
      </c>
    </row>
    <row r="183" spans="1:22" x14ac:dyDescent="0.45">
      <c r="A183" s="1" t="s">
        <v>187</v>
      </c>
      <c r="B183" s="1" t="s">
        <v>84</v>
      </c>
      <c r="C183" s="1">
        <f>INDEX(T_Performances,MATCH($A183,T_Names,0))</f>
        <v>0</v>
      </c>
      <c r="D183">
        <v>13.5</v>
      </c>
      <c r="E183" s="1">
        <f>INDEX(T_Avg_PPG,MATCH($A183,T_Names,0))</f>
        <v>4.5</v>
      </c>
      <c r="F183">
        <f>1+COUNTIFS(T_Total,"&gt;"&amp;D183,T_Pos,$B183)</f>
        <v>103</v>
      </c>
      <c r="G183">
        <f>1+COUNTIFS(T_Avg_PPG,"&gt;"&amp;E183,T_Pos,$B183)</f>
        <v>86</v>
      </c>
      <c r="H183">
        <f>_xlfn.IFNA(VLOOKUP($A183,PredictionTable,MATCH(H$1,Analysts,0),FALSE),60)</f>
        <v>60</v>
      </c>
      <c r="I183">
        <f>_xlfn.IFNA(VLOOKUP($A183,PredictionTable,MATCH(I$1,Analysts,0),FALSE),60)</f>
        <v>60</v>
      </c>
      <c r="J183">
        <f>_xlfn.IFNA(VLOOKUP($A183,PredictionTable,MATCH(J$1,Analysts,0),FALSE),60)</f>
        <v>60</v>
      </c>
      <c r="K183">
        <f>_xlfn.IFNA(VLOOKUP($A183,PredictionTable,MATCH(K$1,Analysts,0),FALSE),60)</f>
        <v>60</v>
      </c>
      <c r="L183">
        <f>_xlfn.IFNA(VLOOKUP($A183,PredictionTable,MATCH(L$1,Analysts,0),FALSE),60)</f>
        <v>60</v>
      </c>
      <c r="M183">
        <f>_xlfn.IFNA(VLOOKUP($A183,PredictionTable,MATCH(M$1,Analysts,0),FALSE),60)</f>
        <v>60</v>
      </c>
      <c r="N183">
        <f>_xlfn.IFNA(VLOOKUP($A183,PredictionTable,MATCH(N$1,Analysts,0),FALSE),60)</f>
        <v>60</v>
      </c>
      <c r="O183">
        <f>_xlfn.IFNA(VLOOKUP($A183,PredictionTable,MATCH(O$1,Analysts,0),FALSE),60)</f>
        <v>60</v>
      </c>
      <c r="P183">
        <f>_xlfn.IFNA(VLOOKUP($A183,PredictionTable,MATCH(P$1,Analysts,0),FALSE),60)</f>
        <v>60</v>
      </c>
      <c r="V183" s="7" t="s">
        <v>589</v>
      </c>
    </row>
    <row r="184" spans="1:22" x14ac:dyDescent="0.45">
      <c r="A184" s="1" t="s">
        <v>188</v>
      </c>
      <c r="B184" s="1" t="s">
        <v>84</v>
      </c>
      <c r="C184" s="1">
        <f>INDEX(T_Performances,MATCH($A184,T_Names,0))</f>
        <v>0</v>
      </c>
      <c r="D184">
        <v>12.3</v>
      </c>
      <c r="E184" s="1">
        <f>INDEX(T_Avg_PPG,MATCH($A184,T_Names,0))</f>
        <v>2.46</v>
      </c>
      <c r="F184">
        <f>1+COUNTIFS(T_Total,"&gt;"&amp;D184,T_Pos,$B184)</f>
        <v>105</v>
      </c>
      <c r="G184">
        <f>1+COUNTIFS(T_Avg_PPG,"&gt;"&amp;E184,T_Pos,$B184)</f>
        <v>120</v>
      </c>
      <c r="H184">
        <f>_xlfn.IFNA(VLOOKUP($A184,PredictionTable,MATCH(H$1,Analysts,0),FALSE),60)</f>
        <v>60</v>
      </c>
      <c r="I184">
        <f>_xlfn.IFNA(VLOOKUP($A184,PredictionTable,MATCH(I$1,Analysts,0),FALSE),60)</f>
        <v>60</v>
      </c>
      <c r="J184">
        <f>_xlfn.IFNA(VLOOKUP($A184,PredictionTable,MATCH(J$1,Analysts,0),FALSE),60)</f>
        <v>60</v>
      </c>
      <c r="K184">
        <f>_xlfn.IFNA(VLOOKUP($A184,PredictionTable,MATCH(K$1,Analysts,0),FALSE),60)</f>
        <v>60</v>
      </c>
      <c r="L184">
        <f>_xlfn.IFNA(VLOOKUP($A184,PredictionTable,MATCH(L$1,Analysts,0),FALSE),60)</f>
        <v>60</v>
      </c>
      <c r="M184">
        <f>_xlfn.IFNA(VLOOKUP($A184,PredictionTable,MATCH(M$1,Analysts,0),FALSE),60)</f>
        <v>60</v>
      </c>
      <c r="N184">
        <f>_xlfn.IFNA(VLOOKUP($A184,PredictionTable,MATCH(N$1,Analysts,0),FALSE),60)</f>
        <v>60</v>
      </c>
      <c r="O184">
        <f>_xlfn.IFNA(VLOOKUP($A184,PredictionTable,MATCH(O$1,Analysts,0),FALSE),60)</f>
        <v>60</v>
      </c>
      <c r="P184">
        <f>_xlfn.IFNA(VLOOKUP($A184,PredictionTable,MATCH(P$1,Analysts,0),FALSE),60)</f>
        <v>60</v>
      </c>
      <c r="V184" s="7" t="s">
        <v>589</v>
      </c>
    </row>
    <row r="185" spans="1:22" x14ac:dyDescent="0.45">
      <c r="A185" s="1" t="s">
        <v>189</v>
      </c>
      <c r="B185" s="1" t="s">
        <v>84</v>
      </c>
      <c r="C185" s="1">
        <f>INDEX(T_Performances,MATCH($A185,T_Names,0))</f>
        <v>0</v>
      </c>
      <c r="D185">
        <v>12.3</v>
      </c>
      <c r="E185" s="1">
        <f>INDEX(T_Avg_PPG,MATCH($A185,T_Names,0))</f>
        <v>2.0500000000000003</v>
      </c>
      <c r="F185">
        <f>1+COUNTIFS(T_Total,"&gt;"&amp;D185,T_Pos,$B185)</f>
        <v>105</v>
      </c>
      <c r="G185">
        <f>1+COUNTIFS(T_Avg_PPG,"&gt;"&amp;E185,T_Pos,$B185)</f>
        <v>123</v>
      </c>
      <c r="H185">
        <f>_xlfn.IFNA(VLOOKUP($A185,PredictionTable,MATCH(H$1,Analysts,0),FALSE),60)</f>
        <v>60</v>
      </c>
      <c r="I185">
        <f>_xlfn.IFNA(VLOOKUP($A185,PredictionTable,MATCH(I$1,Analysts,0),FALSE),60)</f>
        <v>60</v>
      </c>
      <c r="J185">
        <f>_xlfn.IFNA(VLOOKUP($A185,PredictionTable,MATCH(J$1,Analysts,0),FALSE),60)</f>
        <v>60</v>
      </c>
      <c r="K185">
        <f>_xlfn.IFNA(VLOOKUP($A185,PredictionTable,MATCH(K$1,Analysts,0),FALSE),60)</f>
        <v>60</v>
      </c>
      <c r="L185">
        <f>_xlfn.IFNA(VLOOKUP($A185,PredictionTable,MATCH(L$1,Analysts,0),FALSE),60)</f>
        <v>60</v>
      </c>
      <c r="M185">
        <f>_xlfn.IFNA(VLOOKUP($A185,PredictionTable,MATCH(M$1,Analysts,0),FALSE),60)</f>
        <v>60</v>
      </c>
      <c r="N185">
        <f>_xlfn.IFNA(VLOOKUP($A185,PredictionTable,MATCH(N$1,Analysts,0),FALSE),60)</f>
        <v>60</v>
      </c>
      <c r="O185">
        <f>_xlfn.IFNA(VLOOKUP($A185,PredictionTable,MATCH(O$1,Analysts,0),FALSE),60)</f>
        <v>60</v>
      </c>
      <c r="P185">
        <f>_xlfn.IFNA(VLOOKUP($A185,PredictionTable,MATCH(P$1,Analysts,0),FALSE),60)</f>
        <v>60</v>
      </c>
      <c r="V185" s="7" t="s">
        <v>589</v>
      </c>
    </row>
    <row r="186" spans="1:22" x14ac:dyDescent="0.45">
      <c r="A186" s="1" t="s">
        <v>190</v>
      </c>
      <c r="B186" s="1" t="s">
        <v>84</v>
      </c>
      <c r="C186" s="1">
        <f>INDEX(T_Performances,MATCH($A186,T_Names,0))</f>
        <v>1</v>
      </c>
      <c r="D186">
        <v>11.5</v>
      </c>
      <c r="E186" s="1">
        <f>INDEX(T_Avg_PPG,MATCH($A186,T_Names,0))</f>
        <v>11.5</v>
      </c>
      <c r="F186">
        <f>1+COUNTIFS(T_Total,"&gt;"&amp;D186,T_Pos,$B186)</f>
        <v>107</v>
      </c>
      <c r="G186">
        <f>1+COUNTIFS(T_Avg_PPG,"&gt;"&amp;E186,T_Pos,$B186)</f>
        <v>23</v>
      </c>
      <c r="H186">
        <f>_xlfn.IFNA(VLOOKUP($A186,PredictionTable,MATCH(H$1,Analysts,0),FALSE),60)</f>
        <v>60</v>
      </c>
      <c r="I186">
        <f>_xlfn.IFNA(VLOOKUP($A186,PredictionTable,MATCH(I$1,Analysts,0),FALSE),60)</f>
        <v>60</v>
      </c>
      <c r="J186">
        <f>_xlfn.IFNA(VLOOKUP($A186,PredictionTable,MATCH(J$1,Analysts,0),FALSE),60)</f>
        <v>60</v>
      </c>
      <c r="K186">
        <f>_xlfn.IFNA(VLOOKUP($A186,PredictionTable,MATCH(K$1,Analysts,0),FALSE),60)</f>
        <v>60</v>
      </c>
      <c r="L186">
        <f>_xlfn.IFNA(VLOOKUP($A186,PredictionTable,MATCH(L$1,Analysts,0),FALSE),60)</f>
        <v>60</v>
      </c>
      <c r="M186">
        <f>_xlfn.IFNA(VLOOKUP($A186,PredictionTable,MATCH(M$1,Analysts,0),FALSE),60)</f>
        <v>60</v>
      </c>
      <c r="N186">
        <f>_xlfn.IFNA(VLOOKUP($A186,PredictionTable,MATCH(N$1,Analysts,0),FALSE),60)</f>
        <v>60</v>
      </c>
      <c r="O186">
        <f>_xlfn.IFNA(VLOOKUP($A186,PredictionTable,MATCH(O$1,Analysts,0),FALSE),60)</f>
        <v>60</v>
      </c>
      <c r="P186">
        <f>_xlfn.IFNA(VLOOKUP($A186,PredictionTable,MATCH(P$1,Analysts,0),FALSE),60)</f>
        <v>60</v>
      </c>
      <c r="V186" s="7" t="s">
        <v>589</v>
      </c>
    </row>
    <row r="187" spans="1:22" x14ac:dyDescent="0.45">
      <c r="A187" s="1" t="s">
        <v>191</v>
      </c>
      <c r="B187" s="1" t="s">
        <v>84</v>
      </c>
      <c r="C187" s="1">
        <f>INDEX(T_Performances,MATCH($A187,T_Names,0))</f>
        <v>0</v>
      </c>
      <c r="D187">
        <v>11</v>
      </c>
      <c r="E187" s="1">
        <f>INDEX(T_Avg_PPG,MATCH($A187,T_Names,0))</f>
        <v>3.6666666666666665</v>
      </c>
      <c r="F187">
        <f>1+COUNTIFS(T_Total,"&gt;"&amp;D187,T_Pos,$B187)</f>
        <v>108</v>
      </c>
      <c r="G187">
        <f>1+COUNTIFS(T_Avg_PPG,"&gt;"&amp;E187,T_Pos,$B187)</f>
        <v>107</v>
      </c>
      <c r="H187">
        <f>_xlfn.IFNA(VLOOKUP($A187,PredictionTable,MATCH(H$1,Analysts,0),FALSE),60)</f>
        <v>60</v>
      </c>
      <c r="I187">
        <f>_xlfn.IFNA(VLOOKUP($A187,PredictionTable,MATCH(I$1,Analysts,0),FALSE),60)</f>
        <v>60</v>
      </c>
      <c r="J187">
        <f>_xlfn.IFNA(VLOOKUP($A187,PredictionTable,MATCH(J$1,Analysts,0),FALSE),60)</f>
        <v>60</v>
      </c>
      <c r="K187">
        <f>_xlfn.IFNA(VLOOKUP($A187,PredictionTable,MATCH(K$1,Analysts,0),FALSE),60)</f>
        <v>60</v>
      </c>
      <c r="L187">
        <f>_xlfn.IFNA(VLOOKUP($A187,PredictionTable,MATCH(L$1,Analysts,0),FALSE),60)</f>
        <v>60</v>
      </c>
      <c r="M187">
        <f>_xlfn.IFNA(VLOOKUP($A187,PredictionTable,MATCH(M$1,Analysts,0),FALSE),60)</f>
        <v>60</v>
      </c>
      <c r="N187">
        <f>_xlfn.IFNA(VLOOKUP($A187,PredictionTable,MATCH(N$1,Analysts,0),FALSE),60)</f>
        <v>60</v>
      </c>
      <c r="O187">
        <f>_xlfn.IFNA(VLOOKUP($A187,PredictionTable,MATCH(O$1,Analysts,0),FALSE),60)</f>
        <v>60</v>
      </c>
      <c r="P187">
        <f>_xlfn.IFNA(VLOOKUP($A187,PredictionTable,MATCH(P$1,Analysts,0),FALSE),60)</f>
        <v>60</v>
      </c>
      <c r="V187" s="7" t="s">
        <v>589</v>
      </c>
    </row>
    <row r="188" spans="1:22" x14ac:dyDescent="0.45">
      <c r="A188" s="1" t="s">
        <v>192</v>
      </c>
      <c r="B188" s="1" t="s">
        <v>84</v>
      </c>
      <c r="C188" s="1">
        <f>INDEX(T_Performances,MATCH($A188,T_Names,0))</f>
        <v>0</v>
      </c>
      <c r="D188">
        <v>10.3</v>
      </c>
      <c r="E188" s="1">
        <f>INDEX(T_Avg_PPG,MATCH($A188,T_Names,0))</f>
        <v>2.5750000000000002</v>
      </c>
      <c r="F188">
        <f>1+COUNTIFS(T_Total,"&gt;"&amp;D188,T_Pos,$B188)</f>
        <v>109</v>
      </c>
      <c r="G188">
        <f>1+COUNTIFS(T_Avg_PPG,"&gt;"&amp;E188,T_Pos,$B188)</f>
        <v>119</v>
      </c>
      <c r="H188">
        <f>_xlfn.IFNA(VLOOKUP($A188,PredictionTable,MATCH(H$1,Analysts,0),FALSE),60)</f>
        <v>60</v>
      </c>
      <c r="I188">
        <f>_xlfn.IFNA(VLOOKUP($A188,PredictionTable,MATCH(I$1,Analysts,0),FALSE),60)</f>
        <v>60</v>
      </c>
      <c r="J188">
        <f>_xlfn.IFNA(VLOOKUP($A188,PredictionTable,MATCH(J$1,Analysts,0),FALSE),60)</f>
        <v>60</v>
      </c>
      <c r="K188">
        <f>_xlfn.IFNA(VLOOKUP($A188,PredictionTable,MATCH(K$1,Analysts,0),FALSE),60)</f>
        <v>60</v>
      </c>
      <c r="L188">
        <f>_xlfn.IFNA(VLOOKUP($A188,PredictionTable,MATCH(L$1,Analysts,0),FALSE),60)</f>
        <v>60</v>
      </c>
      <c r="M188">
        <f>_xlfn.IFNA(VLOOKUP($A188,PredictionTable,MATCH(M$1,Analysts,0),FALSE),60)</f>
        <v>60</v>
      </c>
      <c r="N188">
        <f>_xlfn.IFNA(VLOOKUP($A188,PredictionTable,MATCH(N$1,Analysts,0),FALSE),60)</f>
        <v>60</v>
      </c>
      <c r="O188">
        <f>_xlfn.IFNA(VLOOKUP($A188,PredictionTable,MATCH(O$1,Analysts,0),FALSE),60)</f>
        <v>60</v>
      </c>
      <c r="P188">
        <f>_xlfn.IFNA(VLOOKUP($A188,PredictionTable,MATCH(P$1,Analysts,0),FALSE),60)</f>
        <v>60</v>
      </c>
      <c r="V188" s="7" t="s">
        <v>589</v>
      </c>
    </row>
    <row r="189" spans="1:22" x14ac:dyDescent="0.45">
      <c r="A189" s="1" t="s">
        <v>193</v>
      </c>
      <c r="B189" s="1" t="s">
        <v>84</v>
      </c>
      <c r="C189" s="1">
        <f>INDEX(T_Performances,MATCH($A189,T_Names,0))</f>
        <v>0</v>
      </c>
      <c r="D189">
        <v>9.1</v>
      </c>
      <c r="E189" s="1">
        <f>INDEX(T_Avg_PPG,MATCH($A189,T_Names,0))</f>
        <v>1.8199999999999998</v>
      </c>
      <c r="F189">
        <f>1+COUNTIFS(T_Total,"&gt;"&amp;D189,T_Pos,$B189)</f>
        <v>110</v>
      </c>
      <c r="G189">
        <f>1+COUNTIFS(T_Avg_PPG,"&gt;"&amp;E189,T_Pos,$B189)</f>
        <v>124</v>
      </c>
      <c r="H189">
        <f>_xlfn.IFNA(VLOOKUP($A189,PredictionTable,MATCH(H$1,Analysts,0),FALSE),60)</f>
        <v>60</v>
      </c>
      <c r="I189">
        <f>_xlfn.IFNA(VLOOKUP($A189,PredictionTable,MATCH(I$1,Analysts,0),FALSE),60)</f>
        <v>60</v>
      </c>
      <c r="J189">
        <f>_xlfn.IFNA(VLOOKUP($A189,PredictionTable,MATCH(J$1,Analysts,0),FALSE),60)</f>
        <v>60</v>
      </c>
      <c r="K189">
        <f>_xlfn.IFNA(VLOOKUP($A189,PredictionTable,MATCH(K$1,Analysts,0),FALSE),60)</f>
        <v>60</v>
      </c>
      <c r="L189">
        <f>_xlfn.IFNA(VLOOKUP($A189,PredictionTable,MATCH(L$1,Analysts,0),FALSE),60)</f>
        <v>60</v>
      </c>
      <c r="M189">
        <f>_xlfn.IFNA(VLOOKUP($A189,PredictionTable,MATCH(M$1,Analysts,0),FALSE),60)</f>
        <v>60</v>
      </c>
      <c r="N189">
        <f>_xlfn.IFNA(VLOOKUP($A189,PredictionTable,MATCH(N$1,Analysts,0),FALSE),60)</f>
        <v>60</v>
      </c>
      <c r="O189">
        <f>_xlfn.IFNA(VLOOKUP($A189,PredictionTable,MATCH(O$1,Analysts,0),FALSE),60)</f>
        <v>60</v>
      </c>
      <c r="P189">
        <f>_xlfn.IFNA(VLOOKUP($A189,PredictionTable,MATCH(P$1,Analysts,0),FALSE),60)</f>
        <v>60</v>
      </c>
      <c r="V189" s="7" t="s">
        <v>589</v>
      </c>
    </row>
    <row r="190" spans="1:22" x14ac:dyDescent="0.45">
      <c r="A190" s="1" t="s">
        <v>194</v>
      </c>
      <c r="B190" s="1" t="s">
        <v>84</v>
      </c>
      <c r="C190" s="1">
        <f>INDEX(T_Performances,MATCH($A190,T_Names,0))</f>
        <v>0</v>
      </c>
      <c r="D190">
        <v>8.5</v>
      </c>
      <c r="E190" s="1">
        <f>INDEX(T_Avg_PPG,MATCH($A190,T_Names,0))</f>
        <v>4.25</v>
      </c>
      <c r="F190">
        <f>1+COUNTIFS(T_Total,"&gt;"&amp;D190,T_Pos,$B190)</f>
        <v>111</v>
      </c>
      <c r="G190">
        <f>1+COUNTIFS(T_Avg_PPG,"&gt;"&amp;E190,T_Pos,$B190)</f>
        <v>92</v>
      </c>
      <c r="H190">
        <f>_xlfn.IFNA(VLOOKUP($A190,PredictionTable,MATCH(H$1,Analysts,0),FALSE),60)</f>
        <v>60</v>
      </c>
      <c r="I190">
        <f>_xlfn.IFNA(VLOOKUP($A190,PredictionTable,MATCH(I$1,Analysts,0),FALSE),60)</f>
        <v>60</v>
      </c>
      <c r="J190">
        <f>_xlfn.IFNA(VLOOKUP($A190,PredictionTable,MATCH(J$1,Analysts,0),FALSE),60)</f>
        <v>60</v>
      </c>
      <c r="K190">
        <f>_xlfn.IFNA(VLOOKUP($A190,PredictionTable,MATCH(K$1,Analysts,0),FALSE),60)</f>
        <v>60</v>
      </c>
      <c r="L190">
        <f>_xlfn.IFNA(VLOOKUP($A190,PredictionTable,MATCH(L$1,Analysts,0),FALSE),60)</f>
        <v>60</v>
      </c>
      <c r="M190">
        <f>_xlfn.IFNA(VLOOKUP($A190,PredictionTable,MATCH(M$1,Analysts,0),FALSE),60)</f>
        <v>60</v>
      </c>
      <c r="N190">
        <f>_xlfn.IFNA(VLOOKUP($A190,PredictionTable,MATCH(N$1,Analysts,0),FALSE),60)</f>
        <v>60</v>
      </c>
      <c r="O190">
        <f>_xlfn.IFNA(VLOOKUP($A190,PredictionTable,MATCH(O$1,Analysts,0),FALSE),60)</f>
        <v>60</v>
      </c>
      <c r="P190">
        <f>_xlfn.IFNA(VLOOKUP($A190,PredictionTable,MATCH(P$1,Analysts,0),FALSE),60)</f>
        <v>60</v>
      </c>
      <c r="V190" s="7" t="s">
        <v>589</v>
      </c>
    </row>
    <row r="191" spans="1:22" x14ac:dyDescent="0.45">
      <c r="A191" s="1" t="s">
        <v>195</v>
      </c>
      <c r="B191" s="1" t="s">
        <v>84</v>
      </c>
      <c r="C191" s="1">
        <f>INDEX(T_Performances,MATCH($A191,T_Names,0))</f>
        <v>0</v>
      </c>
      <c r="D191">
        <v>8</v>
      </c>
      <c r="E191" s="1">
        <f>INDEX(T_Avg_PPG,MATCH($A191,T_Names,0))</f>
        <v>2.6666666666666665</v>
      </c>
      <c r="F191">
        <f>1+COUNTIFS(T_Total,"&gt;"&amp;D191,T_Pos,$B191)</f>
        <v>112</v>
      </c>
      <c r="G191">
        <f>1+COUNTIFS(T_Avg_PPG,"&gt;"&amp;E191,T_Pos,$B191)</f>
        <v>118</v>
      </c>
      <c r="H191">
        <f>_xlfn.IFNA(VLOOKUP($A191,PredictionTable,MATCH(H$1,Analysts,0),FALSE),60)</f>
        <v>60</v>
      </c>
      <c r="I191">
        <f>_xlfn.IFNA(VLOOKUP($A191,PredictionTable,MATCH(I$1,Analysts,0),FALSE),60)</f>
        <v>60</v>
      </c>
      <c r="J191">
        <f>_xlfn.IFNA(VLOOKUP($A191,PredictionTable,MATCH(J$1,Analysts,0),FALSE),60)</f>
        <v>60</v>
      </c>
      <c r="K191">
        <f>_xlfn.IFNA(VLOOKUP($A191,PredictionTable,MATCH(K$1,Analysts,0),FALSE),60)</f>
        <v>60</v>
      </c>
      <c r="L191">
        <f>_xlfn.IFNA(VLOOKUP($A191,PredictionTable,MATCH(L$1,Analysts,0),FALSE),60)</f>
        <v>60</v>
      </c>
      <c r="M191">
        <f>_xlfn.IFNA(VLOOKUP($A191,PredictionTable,MATCH(M$1,Analysts,0),FALSE),60)</f>
        <v>60</v>
      </c>
      <c r="N191">
        <f>_xlfn.IFNA(VLOOKUP($A191,PredictionTable,MATCH(N$1,Analysts,0),FALSE),60)</f>
        <v>60</v>
      </c>
      <c r="O191">
        <f>_xlfn.IFNA(VLOOKUP($A191,PredictionTable,MATCH(O$1,Analysts,0),FALSE),60)</f>
        <v>60</v>
      </c>
      <c r="P191">
        <f>_xlfn.IFNA(VLOOKUP($A191,PredictionTable,MATCH(P$1,Analysts,0),FALSE),60)</f>
        <v>60</v>
      </c>
      <c r="V191" s="7" t="s">
        <v>589</v>
      </c>
    </row>
    <row r="192" spans="1:22" x14ac:dyDescent="0.45">
      <c r="A192" s="1" t="s">
        <v>196</v>
      </c>
      <c r="B192" s="1" t="s">
        <v>84</v>
      </c>
      <c r="C192" s="1">
        <f>INDEX(T_Performances,MATCH($A192,T_Names,0))</f>
        <v>0</v>
      </c>
      <c r="D192">
        <v>7.9</v>
      </c>
      <c r="E192" s="1">
        <f>INDEX(T_Avg_PPG,MATCH($A192,T_Names,0))</f>
        <v>3.95</v>
      </c>
      <c r="F192">
        <f>1+COUNTIFS(T_Total,"&gt;"&amp;D192,T_Pos,$B192)</f>
        <v>113</v>
      </c>
      <c r="G192">
        <f>1+COUNTIFS(T_Avg_PPG,"&gt;"&amp;E192,T_Pos,$B192)</f>
        <v>102</v>
      </c>
      <c r="H192">
        <f>_xlfn.IFNA(VLOOKUP($A192,PredictionTable,MATCH(H$1,Analysts,0),FALSE),60)</f>
        <v>60</v>
      </c>
      <c r="I192">
        <f>_xlfn.IFNA(VLOOKUP($A192,PredictionTable,MATCH(I$1,Analysts,0),FALSE),60)</f>
        <v>60</v>
      </c>
      <c r="J192">
        <f>_xlfn.IFNA(VLOOKUP($A192,PredictionTable,MATCH(J$1,Analysts,0),FALSE),60)</f>
        <v>60</v>
      </c>
      <c r="K192">
        <f>_xlfn.IFNA(VLOOKUP($A192,PredictionTable,MATCH(K$1,Analysts,0),FALSE),60)</f>
        <v>60</v>
      </c>
      <c r="L192">
        <f>_xlfn.IFNA(VLOOKUP($A192,PredictionTable,MATCH(L$1,Analysts,0),FALSE),60)</f>
        <v>60</v>
      </c>
      <c r="M192">
        <f>_xlfn.IFNA(VLOOKUP($A192,PredictionTable,MATCH(M$1,Analysts,0),FALSE),60)</f>
        <v>60</v>
      </c>
      <c r="N192">
        <f>_xlfn.IFNA(VLOOKUP($A192,PredictionTable,MATCH(N$1,Analysts,0),FALSE),60)</f>
        <v>60</v>
      </c>
      <c r="O192">
        <f>_xlfn.IFNA(VLOOKUP($A192,PredictionTable,MATCH(O$1,Analysts,0),FALSE),60)</f>
        <v>60</v>
      </c>
      <c r="P192">
        <f>_xlfn.IFNA(VLOOKUP($A192,PredictionTable,MATCH(P$1,Analysts,0),FALSE),60)</f>
        <v>60</v>
      </c>
      <c r="V192" s="7" t="s">
        <v>589</v>
      </c>
    </row>
    <row r="193" spans="1:22" x14ac:dyDescent="0.45">
      <c r="A193" s="1" t="s">
        <v>197</v>
      </c>
      <c r="B193" s="1" t="s">
        <v>84</v>
      </c>
      <c r="C193" s="1">
        <f>INDEX(T_Performances,MATCH($A193,T_Names,0))</f>
        <v>0</v>
      </c>
      <c r="D193">
        <v>6.6</v>
      </c>
      <c r="E193" s="1">
        <f>INDEX(T_Avg_PPG,MATCH($A193,T_Names,0))</f>
        <v>3.3</v>
      </c>
      <c r="F193">
        <f>1+COUNTIFS(T_Total,"&gt;"&amp;D193,T_Pos,$B193)</f>
        <v>114</v>
      </c>
      <c r="G193">
        <f>1+COUNTIFS(T_Avg_PPG,"&gt;"&amp;E193,T_Pos,$B193)</f>
        <v>111</v>
      </c>
      <c r="H193">
        <f>_xlfn.IFNA(VLOOKUP($A193,PredictionTable,MATCH(H$1,Analysts,0),FALSE),60)</f>
        <v>60</v>
      </c>
      <c r="I193">
        <f>_xlfn.IFNA(VLOOKUP($A193,PredictionTable,MATCH(I$1,Analysts,0),FALSE),60)</f>
        <v>60</v>
      </c>
      <c r="J193">
        <f>_xlfn.IFNA(VLOOKUP($A193,PredictionTable,MATCH(J$1,Analysts,0),FALSE),60)</f>
        <v>60</v>
      </c>
      <c r="K193">
        <f>_xlfn.IFNA(VLOOKUP($A193,PredictionTable,MATCH(K$1,Analysts,0),FALSE),60)</f>
        <v>60</v>
      </c>
      <c r="L193">
        <f>_xlfn.IFNA(VLOOKUP($A193,PredictionTable,MATCH(L$1,Analysts,0),FALSE),60)</f>
        <v>60</v>
      </c>
      <c r="M193">
        <f>_xlfn.IFNA(VLOOKUP($A193,PredictionTable,MATCH(M$1,Analysts,0),FALSE),60)</f>
        <v>60</v>
      </c>
      <c r="N193">
        <f>_xlfn.IFNA(VLOOKUP($A193,PredictionTable,MATCH(N$1,Analysts,0),FALSE),60)</f>
        <v>60</v>
      </c>
      <c r="O193">
        <f>_xlfn.IFNA(VLOOKUP($A193,PredictionTable,MATCH(O$1,Analysts,0),FALSE),60)</f>
        <v>60</v>
      </c>
      <c r="P193">
        <f>_xlfn.IFNA(VLOOKUP($A193,PredictionTable,MATCH(P$1,Analysts,0),FALSE),60)</f>
        <v>60</v>
      </c>
      <c r="V193" s="7" t="s">
        <v>589</v>
      </c>
    </row>
    <row r="194" spans="1:22" x14ac:dyDescent="0.45">
      <c r="A194" s="1" t="s">
        <v>198</v>
      </c>
      <c r="B194" s="1" t="s">
        <v>84</v>
      </c>
      <c r="C194" s="1">
        <f>INDEX(T_Performances,MATCH($A194,T_Names,0))</f>
        <v>0</v>
      </c>
      <c r="D194">
        <v>6.3</v>
      </c>
      <c r="E194" s="1">
        <f>INDEX(T_Avg_PPG,MATCH($A194,T_Names,0))</f>
        <v>6.3</v>
      </c>
      <c r="F194">
        <f>1+COUNTIFS(T_Total,"&gt;"&amp;D194,T_Pos,$B194)</f>
        <v>115</v>
      </c>
      <c r="G194">
        <f>1+COUNTIFS(T_Avg_PPG,"&gt;"&amp;E194,T_Pos,$B194)</f>
        <v>60</v>
      </c>
      <c r="H194">
        <f>_xlfn.IFNA(VLOOKUP($A194,PredictionTable,MATCH(H$1,Analysts,0),FALSE),60)</f>
        <v>60</v>
      </c>
      <c r="I194">
        <f>_xlfn.IFNA(VLOOKUP($A194,PredictionTable,MATCH(I$1,Analysts,0),FALSE),60)</f>
        <v>60</v>
      </c>
      <c r="J194">
        <f>_xlfn.IFNA(VLOOKUP($A194,PredictionTable,MATCH(J$1,Analysts,0),FALSE),60)</f>
        <v>60</v>
      </c>
      <c r="K194">
        <f>_xlfn.IFNA(VLOOKUP($A194,PredictionTable,MATCH(K$1,Analysts,0),FALSE),60)</f>
        <v>60</v>
      </c>
      <c r="L194">
        <f>_xlfn.IFNA(VLOOKUP($A194,PredictionTable,MATCH(L$1,Analysts,0),FALSE),60)</f>
        <v>60</v>
      </c>
      <c r="M194">
        <f>_xlfn.IFNA(VLOOKUP($A194,PredictionTable,MATCH(M$1,Analysts,0),FALSE),60)</f>
        <v>60</v>
      </c>
      <c r="N194">
        <f>_xlfn.IFNA(VLOOKUP($A194,PredictionTable,MATCH(N$1,Analysts,0),FALSE),60)</f>
        <v>60</v>
      </c>
      <c r="O194">
        <f>_xlfn.IFNA(VLOOKUP($A194,PredictionTable,MATCH(O$1,Analysts,0),FALSE),60)</f>
        <v>60</v>
      </c>
      <c r="P194">
        <f>_xlfn.IFNA(VLOOKUP($A194,PredictionTable,MATCH(P$1,Analysts,0),FALSE),60)</f>
        <v>60</v>
      </c>
      <c r="V194" s="7" t="s">
        <v>589</v>
      </c>
    </row>
    <row r="195" spans="1:22" x14ac:dyDescent="0.45">
      <c r="A195" s="1" t="s">
        <v>199</v>
      </c>
      <c r="B195" s="1" t="s">
        <v>84</v>
      </c>
      <c r="C195" s="1">
        <f>INDEX(T_Performances,MATCH($A195,T_Names,0))</f>
        <v>0</v>
      </c>
      <c r="D195">
        <v>6</v>
      </c>
      <c r="E195" s="1">
        <f>INDEX(T_Avg_PPG,MATCH($A195,T_Names,0))</f>
        <v>6</v>
      </c>
      <c r="F195">
        <f>1+COUNTIFS(T_Total,"&gt;"&amp;D195,T_Pos,$B195)</f>
        <v>116</v>
      </c>
      <c r="G195">
        <f>1+COUNTIFS(T_Avg_PPG,"&gt;"&amp;E195,T_Pos,$B195)</f>
        <v>68</v>
      </c>
      <c r="H195">
        <f>_xlfn.IFNA(VLOOKUP($A195,PredictionTable,MATCH(H$1,Analysts,0),FALSE),60)</f>
        <v>30</v>
      </c>
      <c r="I195">
        <f>_xlfn.IFNA(VLOOKUP($A195,PredictionTable,MATCH(I$1,Analysts,0),FALSE),60)</f>
        <v>36</v>
      </c>
      <c r="J195">
        <f>_xlfn.IFNA(VLOOKUP($A195,PredictionTable,MATCH(J$1,Analysts,0),FALSE),60)</f>
        <v>27</v>
      </c>
      <c r="K195">
        <f>_xlfn.IFNA(VLOOKUP($A195,PredictionTable,MATCH(K$1,Analysts,0),FALSE),60)</f>
        <v>29</v>
      </c>
      <c r="L195">
        <f>_xlfn.IFNA(VLOOKUP($A195,PredictionTable,MATCH(L$1,Analysts,0),FALSE),60)</f>
        <v>29</v>
      </c>
      <c r="M195">
        <f>_xlfn.IFNA(VLOOKUP($A195,PredictionTable,MATCH(M$1,Analysts,0),FALSE),60)</f>
        <v>29</v>
      </c>
      <c r="N195">
        <f>_xlfn.IFNA(VLOOKUP($A195,PredictionTable,MATCH(N$1,Analysts,0),FALSE),60)</f>
        <v>24</v>
      </c>
      <c r="O195">
        <f>_xlfn.IFNA(VLOOKUP($A195,PredictionTable,MATCH(O$1,Analysts,0),FALSE),60)</f>
        <v>32</v>
      </c>
      <c r="P195">
        <f>_xlfn.IFNA(VLOOKUP($A195,PredictionTable,MATCH(P$1,Analysts,0),FALSE),60)</f>
        <v>29.5</v>
      </c>
      <c r="V195" s="7" t="s">
        <v>589</v>
      </c>
    </row>
    <row r="196" spans="1:22" x14ac:dyDescent="0.45">
      <c r="A196" s="1" t="s">
        <v>200</v>
      </c>
      <c r="B196" s="1" t="s">
        <v>84</v>
      </c>
      <c r="C196" s="1">
        <f>INDEX(T_Performances,MATCH($A196,T_Names,0))</f>
        <v>0</v>
      </c>
      <c r="D196">
        <v>5.4</v>
      </c>
      <c r="E196" s="1">
        <f>INDEX(T_Avg_PPG,MATCH($A196,T_Names,0))</f>
        <v>1.8</v>
      </c>
      <c r="F196">
        <f>1+COUNTIFS(T_Total,"&gt;"&amp;D196,T_Pos,$B196)</f>
        <v>117</v>
      </c>
      <c r="G196">
        <f>1+COUNTIFS(T_Avg_PPG,"&gt;"&amp;E196,T_Pos,$B196)</f>
        <v>125</v>
      </c>
      <c r="H196">
        <f>_xlfn.IFNA(VLOOKUP($A196,PredictionTable,MATCH(H$1,Analysts,0),FALSE),60)</f>
        <v>60</v>
      </c>
      <c r="I196">
        <f>_xlfn.IFNA(VLOOKUP($A196,PredictionTable,MATCH(I$1,Analysts,0),FALSE),60)</f>
        <v>60</v>
      </c>
      <c r="J196">
        <f>_xlfn.IFNA(VLOOKUP($A196,PredictionTable,MATCH(J$1,Analysts,0),FALSE),60)</f>
        <v>60</v>
      </c>
      <c r="K196">
        <f>_xlfn.IFNA(VLOOKUP($A196,PredictionTable,MATCH(K$1,Analysts,0),FALSE),60)</f>
        <v>60</v>
      </c>
      <c r="L196">
        <f>_xlfn.IFNA(VLOOKUP($A196,PredictionTable,MATCH(L$1,Analysts,0),FALSE),60)</f>
        <v>60</v>
      </c>
      <c r="M196">
        <f>_xlfn.IFNA(VLOOKUP($A196,PredictionTable,MATCH(M$1,Analysts,0),FALSE),60)</f>
        <v>60</v>
      </c>
      <c r="N196">
        <f>_xlfn.IFNA(VLOOKUP($A196,PredictionTable,MATCH(N$1,Analysts,0),FALSE),60)</f>
        <v>60</v>
      </c>
      <c r="O196">
        <f>_xlfn.IFNA(VLOOKUP($A196,PredictionTable,MATCH(O$1,Analysts,0),FALSE),60)</f>
        <v>60</v>
      </c>
      <c r="P196">
        <f>_xlfn.IFNA(VLOOKUP($A196,PredictionTable,MATCH(P$1,Analysts,0),FALSE),60)</f>
        <v>60</v>
      </c>
      <c r="V196" s="7" t="s">
        <v>589</v>
      </c>
    </row>
    <row r="197" spans="1:22" x14ac:dyDescent="0.45">
      <c r="A197" s="1" t="s">
        <v>201</v>
      </c>
      <c r="B197" s="1" t="s">
        <v>84</v>
      </c>
      <c r="C197" s="1">
        <f>INDEX(T_Performances,MATCH($A197,T_Names,0))</f>
        <v>0</v>
      </c>
      <c r="D197">
        <v>5.4</v>
      </c>
      <c r="E197" s="1">
        <f>INDEX(T_Avg_PPG,MATCH($A197,T_Names,0))</f>
        <v>1.8</v>
      </c>
      <c r="F197">
        <f>1+COUNTIFS(T_Total,"&gt;"&amp;D197,T_Pos,$B197)</f>
        <v>117</v>
      </c>
      <c r="G197">
        <f>1+COUNTIFS(T_Avg_PPG,"&gt;"&amp;E197,T_Pos,$B197)</f>
        <v>125</v>
      </c>
      <c r="H197">
        <f>_xlfn.IFNA(VLOOKUP($A197,PredictionTable,MATCH(H$1,Analysts,0),FALSE),60)</f>
        <v>60</v>
      </c>
      <c r="I197">
        <f>_xlfn.IFNA(VLOOKUP($A197,PredictionTable,MATCH(I$1,Analysts,0),FALSE),60)</f>
        <v>60</v>
      </c>
      <c r="J197">
        <f>_xlfn.IFNA(VLOOKUP($A197,PredictionTable,MATCH(J$1,Analysts,0),FALSE),60)</f>
        <v>60</v>
      </c>
      <c r="K197">
        <f>_xlfn.IFNA(VLOOKUP($A197,PredictionTable,MATCH(K$1,Analysts,0),FALSE),60)</f>
        <v>60</v>
      </c>
      <c r="L197">
        <f>_xlfn.IFNA(VLOOKUP($A197,PredictionTable,MATCH(L$1,Analysts,0),FALSE),60)</f>
        <v>60</v>
      </c>
      <c r="M197">
        <f>_xlfn.IFNA(VLOOKUP($A197,PredictionTable,MATCH(M$1,Analysts,0),FALSE),60)</f>
        <v>60</v>
      </c>
      <c r="N197">
        <f>_xlfn.IFNA(VLOOKUP($A197,PredictionTable,MATCH(N$1,Analysts,0),FALSE),60)</f>
        <v>60</v>
      </c>
      <c r="O197">
        <f>_xlfn.IFNA(VLOOKUP($A197,PredictionTable,MATCH(O$1,Analysts,0),FALSE),60)</f>
        <v>60</v>
      </c>
      <c r="P197">
        <f>_xlfn.IFNA(VLOOKUP($A197,PredictionTable,MATCH(P$1,Analysts,0),FALSE),60)</f>
        <v>60</v>
      </c>
      <c r="V197" s="7" t="s">
        <v>589</v>
      </c>
    </row>
    <row r="198" spans="1:22" x14ac:dyDescent="0.45">
      <c r="A198" s="1" t="s">
        <v>202</v>
      </c>
      <c r="B198" s="1" t="s">
        <v>84</v>
      </c>
      <c r="C198" s="1">
        <f>INDEX(T_Performances,MATCH($A198,T_Names,0))</f>
        <v>0</v>
      </c>
      <c r="D198">
        <v>4.9000000000000004</v>
      </c>
      <c r="E198" s="1">
        <f>INDEX(T_Avg_PPG,MATCH($A198,T_Names,0))</f>
        <v>4.9000000000000004</v>
      </c>
      <c r="F198">
        <f>1+COUNTIFS(T_Total,"&gt;"&amp;D198,T_Pos,$B198)</f>
        <v>119</v>
      </c>
      <c r="G198">
        <f>1+COUNTIFS(T_Avg_PPG,"&gt;"&amp;E198,T_Pos,$B198)</f>
        <v>79</v>
      </c>
      <c r="H198">
        <f>_xlfn.IFNA(VLOOKUP($A198,PredictionTable,MATCH(H$1,Analysts,0),FALSE),60)</f>
        <v>60</v>
      </c>
      <c r="I198">
        <f>_xlfn.IFNA(VLOOKUP($A198,PredictionTable,MATCH(I$1,Analysts,0),FALSE),60)</f>
        <v>60</v>
      </c>
      <c r="J198">
        <f>_xlfn.IFNA(VLOOKUP($A198,PredictionTable,MATCH(J$1,Analysts,0),FALSE),60)</f>
        <v>60</v>
      </c>
      <c r="K198">
        <f>_xlfn.IFNA(VLOOKUP($A198,PredictionTable,MATCH(K$1,Analysts,0),FALSE),60)</f>
        <v>60</v>
      </c>
      <c r="L198">
        <f>_xlfn.IFNA(VLOOKUP($A198,PredictionTable,MATCH(L$1,Analysts,0),FALSE),60)</f>
        <v>60</v>
      </c>
      <c r="M198">
        <f>_xlfn.IFNA(VLOOKUP($A198,PredictionTable,MATCH(M$1,Analysts,0),FALSE),60)</f>
        <v>60</v>
      </c>
      <c r="N198">
        <f>_xlfn.IFNA(VLOOKUP($A198,PredictionTable,MATCH(N$1,Analysts,0),FALSE),60)</f>
        <v>60</v>
      </c>
      <c r="O198">
        <f>_xlfn.IFNA(VLOOKUP($A198,PredictionTable,MATCH(O$1,Analysts,0),FALSE),60)</f>
        <v>60</v>
      </c>
      <c r="P198">
        <f>_xlfn.IFNA(VLOOKUP($A198,PredictionTable,MATCH(P$1,Analysts,0),FALSE),60)</f>
        <v>60</v>
      </c>
      <c r="V198" s="7" t="s">
        <v>589</v>
      </c>
    </row>
    <row r="199" spans="1:22" x14ac:dyDescent="0.45">
      <c r="A199" s="1" t="s">
        <v>203</v>
      </c>
      <c r="B199" s="1" t="s">
        <v>84</v>
      </c>
      <c r="C199" s="1">
        <f>INDEX(T_Performances,MATCH($A199,T_Names,0))</f>
        <v>0</v>
      </c>
      <c r="D199">
        <v>4.8</v>
      </c>
      <c r="E199" s="1">
        <f>INDEX(T_Avg_PPG,MATCH($A199,T_Names,0))</f>
        <v>1.5999999999999999</v>
      </c>
      <c r="F199">
        <f>1+COUNTIFS(T_Total,"&gt;"&amp;D199,T_Pos,$B199)</f>
        <v>120</v>
      </c>
      <c r="G199">
        <f>1+COUNTIFS(T_Avg_PPG,"&gt;"&amp;E199,T_Pos,$B199)</f>
        <v>129</v>
      </c>
      <c r="H199">
        <f>_xlfn.IFNA(VLOOKUP($A199,PredictionTable,MATCH(H$1,Analysts,0),FALSE),60)</f>
        <v>60</v>
      </c>
      <c r="I199">
        <f>_xlfn.IFNA(VLOOKUP($A199,PredictionTable,MATCH(I$1,Analysts,0),FALSE),60)</f>
        <v>60</v>
      </c>
      <c r="J199">
        <f>_xlfn.IFNA(VLOOKUP($A199,PredictionTable,MATCH(J$1,Analysts,0),FALSE),60)</f>
        <v>60</v>
      </c>
      <c r="K199">
        <f>_xlfn.IFNA(VLOOKUP($A199,PredictionTable,MATCH(K$1,Analysts,0),FALSE),60)</f>
        <v>60</v>
      </c>
      <c r="L199">
        <f>_xlfn.IFNA(VLOOKUP($A199,PredictionTable,MATCH(L$1,Analysts,0),FALSE),60)</f>
        <v>60</v>
      </c>
      <c r="M199">
        <f>_xlfn.IFNA(VLOOKUP($A199,PredictionTable,MATCH(M$1,Analysts,0),FALSE),60)</f>
        <v>60</v>
      </c>
      <c r="N199">
        <f>_xlfn.IFNA(VLOOKUP($A199,PredictionTable,MATCH(N$1,Analysts,0),FALSE),60)</f>
        <v>60</v>
      </c>
      <c r="O199">
        <f>_xlfn.IFNA(VLOOKUP($A199,PredictionTable,MATCH(O$1,Analysts,0),FALSE),60)</f>
        <v>60</v>
      </c>
      <c r="P199">
        <f>_xlfn.IFNA(VLOOKUP($A199,PredictionTable,MATCH(P$1,Analysts,0),FALSE),60)</f>
        <v>60</v>
      </c>
      <c r="V199" s="7" t="s">
        <v>589</v>
      </c>
    </row>
    <row r="200" spans="1:22" x14ac:dyDescent="0.45">
      <c r="A200" s="1" t="s">
        <v>204</v>
      </c>
      <c r="B200" s="1" t="s">
        <v>84</v>
      </c>
      <c r="C200" s="1">
        <f>INDEX(T_Performances,MATCH($A200,T_Names,0))</f>
        <v>0</v>
      </c>
      <c r="D200">
        <v>4.4000000000000004</v>
      </c>
      <c r="E200" s="1">
        <f>INDEX(T_Avg_PPG,MATCH($A200,T_Names,0))</f>
        <v>4.4000000000000004</v>
      </c>
      <c r="F200">
        <f>1+COUNTIFS(T_Total,"&gt;"&amp;D200,T_Pos,$B200)</f>
        <v>121</v>
      </c>
      <c r="G200">
        <f>1+COUNTIFS(T_Avg_PPG,"&gt;"&amp;E200,T_Pos,$B200)</f>
        <v>89</v>
      </c>
      <c r="H200">
        <f>_xlfn.IFNA(VLOOKUP($A200,PredictionTable,MATCH(H$1,Analysts,0),FALSE),60)</f>
        <v>60</v>
      </c>
      <c r="I200">
        <f>_xlfn.IFNA(VLOOKUP($A200,PredictionTable,MATCH(I$1,Analysts,0),FALSE),60)</f>
        <v>60</v>
      </c>
      <c r="J200">
        <f>_xlfn.IFNA(VLOOKUP($A200,PredictionTable,MATCH(J$1,Analysts,0),FALSE),60)</f>
        <v>60</v>
      </c>
      <c r="K200">
        <f>_xlfn.IFNA(VLOOKUP($A200,PredictionTable,MATCH(K$1,Analysts,0),FALSE),60)</f>
        <v>60</v>
      </c>
      <c r="L200">
        <f>_xlfn.IFNA(VLOOKUP($A200,PredictionTable,MATCH(L$1,Analysts,0),FALSE),60)</f>
        <v>60</v>
      </c>
      <c r="M200">
        <f>_xlfn.IFNA(VLOOKUP($A200,PredictionTable,MATCH(M$1,Analysts,0),FALSE),60)</f>
        <v>60</v>
      </c>
      <c r="N200">
        <f>_xlfn.IFNA(VLOOKUP($A200,PredictionTable,MATCH(N$1,Analysts,0),FALSE),60)</f>
        <v>60</v>
      </c>
      <c r="O200">
        <f>_xlfn.IFNA(VLOOKUP($A200,PredictionTable,MATCH(O$1,Analysts,0),FALSE),60)</f>
        <v>60</v>
      </c>
      <c r="P200">
        <f>_xlfn.IFNA(VLOOKUP($A200,PredictionTable,MATCH(P$1,Analysts,0),FALSE),60)</f>
        <v>60</v>
      </c>
      <c r="V200" s="7" t="s">
        <v>589</v>
      </c>
    </row>
    <row r="201" spans="1:22" x14ac:dyDescent="0.45">
      <c r="A201" s="1" t="s">
        <v>205</v>
      </c>
      <c r="B201" s="1" t="s">
        <v>84</v>
      </c>
      <c r="C201" s="1">
        <f>INDEX(T_Performances,MATCH($A201,T_Names,0))</f>
        <v>0</v>
      </c>
      <c r="D201">
        <v>3.7</v>
      </c>
      <c r="E201" s="1">
        <f>INDEX(T_Avg_PPG,MATCH($A201,T_Names,0))</f>
        <v>3.7</v>
      </c>
      <c r="F201">
        <f>1+COUNTIFS(T_Total,"&gt;"&amp;D201,T_Pos,$B201)</f>
        <v>122</v>
      </c>
      <c r="G201">
        <f>1+COUNTIFS(T_Avg_PPG,"&gt;"&amp;E201,T_Pos,$B201)</f>
        <v>106</v>
      </c>
      <c r="H201">
        <f>_xlfn.IFNA(VLOOKUP($A201,PredictionTable,MATCH(H$1,Analysts,0),FALSE),60)</f>
        <v>60</v>
      </c>
      <c r="I201">
        <f>_xlfn.IFNA(VLOOKUP($A201,PredictionTable,MATCH(I$1,Analysts,0),FALSE),60)</f>
        <v>60</v>
      </c>
      <c r="J201">
        <f>_xlfn.IFNA(VLOOKUP($A201,PredictionTable,MATCH(J$1,Analysts,0),FALSE),60)</f>
        <v>60</v>
      </c>
      <c r="K201">
        <f>_xlfn.IFNA(VLOOKUP($A201,PredictionTable,MATCH(K$1,Analysts,0),FALSE),60)</f>
        <v>60</v>
      </c>
      <c r="L201">
        <f>_xlfn.IFNA(VLOOKUP($A201,PredictionTable,MATCH(L$1,Analysts,0),FALSE),60)</f>
        <v>60</v>
      </c>
      <c r="M201">
        <f>_xlfn.IFNA(VLOOKUP($A201,PredictionTable,MATCH(M$1,Analysts,0),FALSE),60)</f>
        <v>60</v>
      </c>
      <c r="N201">
        <f>_xlfn.IFNA(VLOOKUP($A201,PredictionTable,MATCH(N$1,Analysts,0),FALSE),60)</f>
        <v>60</v>
      </c>
      <c r="O201">
        <f>_xlfn.IFNA(VLOOKUP($A201,PredictionTable,MATCH(O$1,Analysts,0),FALSE),60)</f>
        <v>60</v>
      </c>
      <c r="P201">
        <f>_xlfn.IFNA(VLOOKUP($A201,PredictionTable,MATCH(P$1,Analysts,0),FALSE),60)</f>
        <v>60</v>
      </c>
      <c r="V201" s="7" t="s">
        <v>589</v>
      </c>
    </row>
    <row r="202" spans="1:22" x14ac:dyDescent="0.45">
      <c r="A202" s="1" t="s">
        <v>206</v>
      </c>
      <c r="B202" s="1" t="s">
        <v>84</v>
      </c>
      <c r="C202" s="1">
        <f>INDEX(T_Performances,MATCH($A202,T_Names,0))</f>
        <v>0</v>
      </c>
      <c r="D202">
        <v>3.5</v>
      </c>
      <c r="E202" s="1">
        <f>INDEX(T_Avg_PPG,MATCH($A202,T_Names,0))</f>
        <v>3.5</v>
      </c>
      <c r="F202">
        <f>1+COUNTIFS(T_Total,"&gt;"&amp;D202,T_Pos,$B202)</f>
        <v>123</v>
      </c>
      <c r="G202">
        <f>1+COUNTIFS(T_Avg_PPG,"&gt;"&amp;E202,T_Pos,$B202)</f>
        <v>108</v>
      </c>
      <c r="H202">
        <f>_xlfn.IFNA(VLOOKUP($A202,PredictionTable,MATCH(H$1,Analysts,0),FALSE),60)</f>
        <v>60</v>
      </c>
      <c r="I202">
        <f>_xlfn.IFNA(VLOOKUP($A202,PredictionTable,MATCH(I$1,Analysts,0),FALSE),60)</f>
        <v>60</v>
      </c>
      <c r="J202">
        <f>_xlfn.IFNA(VLOOKUP($A202,PredictionTable,MATCH(J$1,Analysts,0),FALSE),60)</f>
        <v>60</v>
      </c>
      <c r="K202">
        <f>_xlfn.IFNA(VLOOKUP($A202,PredictionTable,MATCH(K$1,Analysts,0),FALSE),60)</f>
        <v>60</v>
      </c>
      <c r="L202">
        <f>_xlfn.IFNA(VLOOKUP($A202,PredictionTable,MATCH(L$1,Analysts,0),FALSE),60)</f>
        <v>60</v>
      </c>
      <c r="M202">
        <f>_xlfn.IFNA(VLOOKUP($A202,PredictionTable,MATCH(M$1,Analysts,0),FALSE),60)</f>
        <v>60</v>
      </c>
      <c r="N202">
        <f>_xlfn.IFNA(VLOOKUP($A202,PredictionTable,MATCH(N$1,Analysts,0),FALSE),60)</f>
        <v>60</v>
      </c>
      <c r="O202">
        <f>_xlfn.IFNA(VLOOKUP($A202,PredictionTable,MATCH(O$1,Analysts,0),FALSE),60)</f>
        <v>60</v>
      </c>
      <c r="P202">
        <f>_xlfn.IFNA(VLOOKUP($A202,PredictionTable,MATCH(P$1,Analysts,0),FALSE),60)</f>
        <v>60</v>
      </c>
      <c r="V202" s="7" t="s">
        <v>589</v>
      </c>
    </row>
    <row r="203" spans="1:22" x14ac:dyDescent="0.45">
      <c r="A203" s="1" t="s">
        <v>207</v>
      </c>
      <c r="B203" s="1" t="s">
        <v>84</v>
      </c>
      <c r="C203" s="1">
        <f>INDEX(T_Performances,MATCH($A203,T_Names,0))</f>
        <v>0</v>
      </c>
      <c r="D203">
        <v>3.3</v>
      </c>
      <c r="E203" s="1">
        <f>INDEX(T_Avg_PPG,MATCH($A203,T_Names,0))</f>
        <v>1.65</v>
      </c>
      <c r="F203">
        <f>1+COUNTIFS(T_Total,"&gt;"&amp;D203,T_Pos,$B203)</f>
        <v>124</v>
      </c>
      <c r="G203">
        <f>1+COUNTIFS(T_Avg_PPG,"&gt;"&amp;E203,T_Pos,$B203)</f>
        <v>128</v>
      </c>
      <c r="H203">
        <f>_xlfn.IFNA(VLOOKUP($A203,PredictionTable,MATCH(H$1,Analysts,0),FALSE),60)</f>
        <v>60</v>
      </c>
      <c r="I203">
        <f>_xlfn.IFNA(VLOOKUP($A203,PredictionTable,MATCH(I$1,Analysts,0),FALSE),60)</f>
        <v>60</v>
      </c>
      <c r="J203">
        <f>_xlfn.IFNA(VLOOKUP($A203,PredictionTable,MATCH(J$1,Analysts,0),FALSE),60)</f>
        <v>60</v>
      </c>
      <c r="K203">
        <f>_xlfn.IFNA(VLOOKUP($A203,PredictionTable,MATCH(K$1,Analysts,0),FALSE),60)</f>
        <v>60</v>
      </c>
      <c r="L203">
        <f>_xlfn.IFNA(VLOOKUP($A203,PredictionTable,MATCH(L$1,Analysts,0),FALSE),60)</f>
        <v>60</v>
      </c>
      <c r="M203">
        <f>_xlfn.IFNA(VLOOKUP($A203,PredictionTable,MATCH(M$1,Analysts,0),FALSE),60)</f>
        <v>60</v>
      </c>
      <c r="N203">
        <f>_xlfn.IFNA(VLOOKUP($A203,PredictionTable,MATCH(N$1,Analysts,0),FALSE),60)</f>
        <v>60</v>
      </c>
      <c r="O203">
        <f>_xlfn.IFNA(VLOOKUP($A203,PredictionTable,MATCH(O$1,Analysts,0),FALSE),60)</f>
        <v>60</v>
      </c>
      <c r="P203">
        <f>_xlfn.IFNA(VLOOKUP($A203,PredictionTable,MATCH(P$1,Analysts,0),FALSE),60)</f>
        <v>60</v>
      </c>
      <c r="V203" s="7" t="s">
        <v>589</v>
      </c>
    </row>
    <row r="204" spans="1:22" x14ac:dyDescent="0.45">
      <c r="A204" s="1" t="s">
        <v>208</v>
      </c>
      <c r="B204" s="1" t="s">
        <v>84</v>
      </c>
      <c r="C204" s="1">
        <f>INDEX(T_Performances,MATCH($A204,T_Names,0))</f>
        <v>0</v>
      </c>
      <c r="D204">
        <v>3.2</v>
      </c>
      <c r="E204" s="1">
        <f>INDEX(T_Avg_PPG,MATCH($A204,T_Names,0))</f>
        <v>1.6</v>
      </c>
      <c r="F204">
        <f>1+COUNTIFS(T_Total,"&gt;"&amp;D204,T_Pos,$B204)</f>
        <v>125</v>
      </c>
      <c r="G204">
        <f>1+COUNTIFS(T_Avg_PPG,"&gt;"&amp;E204,T_Pos,$B204)</f>
        <v>129</v>
      </c>
      <c r="H204">
        <f>_xlfn.IFNA(VLOOKUP($A204,PredictionTable,MATCH(H$1,Analysts,0),FALSE),60)</f>
        <v>60</v>
      </c>
      <c r="I204">
        <f>_xlfn.IFNA(VLOOKUP($A204,PredictionTable,MATCH(I$1,Analysts,0),FALSE),60)</f>
        <v>60</v>
      </c>
      <c r="J204">
        <f>_xlfn.IFNA(VLOOKUP($A204,PredictionTable,MATCH(J$1,Analysts,0),FALSE),60)</f>
        <v>60</v>
      </c>
      <c r="K204">
        <f>_xlfn.IFNA(VLOOKUP($A204,PredictionTable,MATCH(K$1,Analysts,0),FALSE),60)</f>
        <v>60</v>
      </c>
      <c r="L204">
        <f>_xlfn.IFNA(VLOOKUP($A204,PredictionTable,MATCH(L$1,Analysts,0),FALSE),60)</f>
        <v>60</v>
      </c>
      <c r="M204">
        <f>_xlfn.IFNA(VLOOKUP($A204,PredictionTable,MATCH(M$1,Analysts,0),FALSE),60)</f>
        <v>60</v>
      </c>
      <c r="N204">
        <f>_xlfn.IFNA(VLOOKUP($A204,PredictionTable,MATCH(N$1,Analysts,0),FALSE),60)</f>
        <v>60</v>
      </c>
      <c r="O204">
        <f>_xlfn.IFNA(VLOOKUP($A204,PredictionTable,MATCH(O$1,Analysts,0),FALSE),60)</f>
        <v>60</v>
      </c>
      <c r="P204">
        <f>_xlfn.IFNA(VLOOKUP($A204,PredictionTable,MATCH(P$1,Analysts,0),FALSE),60)</f>
        <v>60</v>
      </c>
      <c r="V204" s="7" t="s">
        <v>589</v>
      </c>
    </row>
    <row r="205" spans="1:22" x14ac:dyDescent="0.45">
      <c r="A205" s="1" t="s">
        <v>209</v>
      </c>
      <c r="B205" s="1" t="s">
        <v>84</v>
      </c>
      <c r="C205" s="1">
        <f>INDEX(T_Performances,MATCH($A205,T_Names,0))</f>
        <v>0</v>
      </c>
      <c r="D205">
        <v>3.1</v>
      </c>
      <c r="E205" s="1">
        <f>INDEX(T_Avg_PPG,MATCH($A205,T_Names,0))</f>
        <v>3.1</v>
      </c>
      <c r="F205">
        <f>1+COUNTIFS(T_Total,"&gt;"&amp;D205,T_Pos,$B205)</f>
        <v>126</v>
      </c>
      <c r="G205">
        <f>1+COUNTIFS(T_Avg_PPG,"&gt;"&amp;E205,T_Pos,$B205)</f>
        <v>113</v>
      </c>
      <c r="H205">
        <f>_xlfn.IFNA(VLOOKUP($A205,PredictionTable,MATCH(H$1,Analysts,0),FALSE),60)</f>
        <v>60</v>
      </c>
      <c r="I205">
        <f>_xlfn.IFNA(VLOOKUP($A205,PredictionTable,MATCH(I$1,Analysts,0),FALSE),60)</f>
        <v>60</v>
      </c>
      <c r="J205">
        <f>_xlfn.IFNA(VLOOKUP($A205,PredictionTable,MATCH(J$1,Analysts,0),FALSE),60)</f>
        <v>60</v>
      </c>
      <c r="K205">
        <f>_xlfn.IFNA(VLOOKUP($A205,PredictionTable,MATCH(K$1,Analysts,0),FALSE),60)</f>
        <v>60</v>
      </c>
      <c r="L205">
        <f>_xlfn.IFNA(VLOOKUP($A205,PredictionTable,MATCH(L$1,Analysts,0),FALSE),60)</f>
        <v>60</v>
      </c>
      <c r="M205">
        <f>_xlfn.IFNA(VLOOKUP($A205,PredictionTable,MATCH(M$1,Analysts,0),FALSE),60)</f>
        <v>60</v>
      </c>
      <c r="N205">
        <f>_xlfn.IFNA(VLOOKUP($A205,PredictionTable,MATCH(N$1,Analysts,0),FALSE),60)</f>
        <v>60</v>
      </c>
      <c r="O205">
        <f>_xlfn.IFNA(VLOOKUP($A205,PredictionTable,MATCH(O$1,Analysts,0),FALSE),60)</f>
        <v>60</v>
      </c>
      <c r="P205">
        <f>_xlfn.IFNA(VLOOKUP($A205,PredictionTable,MATCH(P$1,Analysts,0),FALSE),60)</f>
        <v>60</v>
      </c>
      <c r="V205" s="7" t="s">
        <v>589</v>
      </c>
    </row>
    <row r="206" spans="1:22" x14ac:dyDescent="0.45">
      <c r="A206" s="1" t="s">
        <v>210</v>
      </c>
      <c r="B206" s="1" t="s">
        <v>84</v>
      </c>
      <c r="C206" s="1">
        <f>INDEX(T_Performances,MATCH($A206,T_Names,0))</f>
        <v>0</v>
      </c>
      <c r="D206">
        <v>2.8</v>
      </c>
      <c r="E206" s="1">
        <f>INDEX(T_Avg_PPG,MATCH($A206,T_Names,0))</f>
        <v>2.8</v>
      </c>
      <c r="F206">
        <f>1+COUNTIFS(T_Total,"&gt;"&amp;D206,T_Pos,$B206)</f>
        <v>127</v>
      </c>
      <c r="G206">
        <f>1+COUNTIFS(T_Avg_PPG,"&gt;"&amp;E206,T_Pos,$B206)</f>
        <v>116</v>
      </c>
      <c r="H206">
        <f>_xlfn.IFNA(VLOOKUP($A206,PredictionTable,MATCH(H$1,Analysts,0),FALSE),60)</f>
        <v>60</v>
      </c>
      <c r="I206">
        <f>_xlfn.IFNA(VLOOKUP($A206,PredictionTable,MATCH(I$1,Analysts,0),FALSE),60)</f>
        <v>60</v>
      </c>
      <c r="J206">
        <f>_xlfn.IFNA(VLOOKUP($A206,PredictionTable,MATCH(J$1,Analysts,0),FALSE),60)</f>
        <v>60</v>
      </c>
      <c r="K206">
        <f>_xlfn.IFNA(VLOOKUP($A206,PredictionTable,MATCH(K$1,Analysts,0),FALSE),60)</f>
        <v>60</v>
      </c>
      <c r="L206">
        <f>_xlfn.IFNA(VLOOKUP($A206,PredictionTable,MATCH(L$1,Analysts,0),FALSE),60)</f>
        <v>60</v>
      </c>
      <c r="M206">
        <f>_xlfn.IFNA(VLOOKUP($A206,PredictionTable,MATCH(M$1,Analysts,0),FALSE),60)</f>
        <v>60</v>
      </c>
      <c r="N206">
        <f>_xlfn.IFNA(VLOOKUP($A206,PredictionTable,MATCH(N$1,Analysts,0),FALSE),60)</f>
        <v>60</v>
      </c>
      <c r="O206">
        <f>_xlfn.IFNA(VLOOKUP($A206,PredictionTable,MATCH(O$1,Analysts,0),FALSE),60)</f>
        <v>60</v>
      </c>
      <c r="P206">
        <f>_xlfn.IFNA(VLOOKUP($A206,PredictionTable,MATCH(P$1,Analysts,0),FALSE),60)</f>
        <v>60</v>
      </c>
      <c r="V206" s="7" t="s">
        <v>589</v>
      </c>
    </row>
    <row r="207" spans="1:22" x14ac:dyDescent="0.45">
      <c r="A207" s="1" t="s">
        <v>211</v>
      </c>
      <c r="B207" s="1" t="s">
        <v>84</v>
      </c>
      <c r="C207" s="1">
        <f>INDEX(T_Performances,MATCH($A207,T_Names,0))</f>
        <v>0</v>
      </c>
      <c r="D207">
        <v>2.2999999999999998</v>
      </c>
      <c r="E207" s="1">
        <f>INDEX(T_Avg_PPG,MATCH($A207,T_Names,0))</f>
        <v>2.2999999999999998</v>
      </c>
      <c r="F207">
        <f>1+COUNTIFS(T_Total,"&gt;"&amp;D207,T_Pos,$B207)</f>
        <v>128</v>
      </c>
      <c r="G207">
        <f>1+COUNTIFS(T_Avg_PPG,"&gt;"&amp;E207,T_Pos,$B207)</f>
        <v>121</v>
      </c>
      <c r="H207">
        <f>_xlfn.IFNA(VLOOKUP($A207,PredictionTable,MATCH(H$1,Analysts,0),FALSE),60)</f>
        <v>60</v>
      </c>
      <c r="I207">
        <f>_xlfn.IFNA(VLOOKUP($A207,PredictionTable,MATCH(I$1,Analysts,0),FALSE),60)</f>
        <v>60</v>
      </c>
      <c r="J207">
        <f>_xlfn.IFNA(VLOOKUP($A207,PredictionTable,MATCH(J$1,Analysts,0),FALSE),60)</f>
        <v>60</v>
      </c>
      <c r="K207">
        <f>_xlfn.IFNA(VLOOKUP($A207,PredictionTable,MATCH(K$1,Analysts,0),FALSE),60)</f>
        <v>60</v>
      </c>
      <c r="L207">
        <f>_xlfn.IFNA(VLOOKUP($A207,PredictionTable,MATCH(L$1,Analysts,0),FALSE),60)</f>
        <v>60</v>
      </c>
      <c r="M207">
        <f>_xlfn.IFNA(VLOOKUP($A207,PredictionTable,MATCH(M$1,Analysts,0),FALSE),60)</f>
        <v>60</v>
      </c>
      <c r="N207">
        <f>_xlfn.IFNA(VLOOKUP($A207,PredictionTable,MATCH(N$1,Analysts,0),FALSE),60)</f>
        <v>60</v>
      </c>
      <c r="O207">
        <f>_xlfn.IFNA(VLOOKUP($A207,PredictionTable,MATCH(O$1,Analysts,0),FALSE),60)</f>
        <v>60</v>
      </c>
      <c r="P207">
        <f>_xlfn.IFNA(VLOOKUP($A207,PredictionTable,MATCH(P$1,Analysts,0),FALSE),60)</f>
        <v>60</v>
      </c>
      <c r="V207" s="7" t="s">
        <v>589</v>
      </c>
    </row>
    <row r="208" spans="1:22" x14ac:dyDescent="0.45">
      <c r="A208" s="1" t="s">
        <v>212</v>
      </c>
      <c r="B208" s="1" t="s">
        <v>84</v>
      </c>
      <c r="C208" s="1">
        <f>INDEX(T_Performances,MATCH($A208,T_Names,0))</f>
        <v>0</v>
      </c>
      <c r="D208">
        <v>2.2000000000000002</v>
      </c>
      <c r="E208" s="1">
        <f>INDEX(T_Avg_PPG,MATCH($A208,T_Names,0))</f>
        <v>2.2000000000000002</v>
      </c>
      <c r="F208">
        <f>1+COUNTIFS(T_Total,"&gt;"&amp;D208,T_Pos,$B208)</f>
        <v>129</v>
      </c>
      <c r="G208">
        <f>1+COUNTIFS(T_Avg_PPG,"&gt;"&amp;E208,T_Pos,$B208)</f>
        <v>122</v>
      </c>
      <c r="H208">
        <f>_xlfn.IFNA(VLOOKUP($A208,PredictionTable,MATCH(H$1,Analysts,0),FALSE),60)</f>
        <v>60</v>
      </c>
      <c r="I208">
        <f>_xlfn.IFNA(VLOOKUP($A208,PredictionTable,MATCH(I$1,Analysts,0),FALSE),60)</f>
        <v>60</v>
      </c>
      <c r="J208">
        <f>_xlfn.IFNA(VLOOKUP($A208,PredictionTable,MATCH(J$1,Analysts,0),FALSE),60)</f>
        <v>60</v>
      </c>
      <c r="K208">
        <f>_xlfn.IFNA(VLOOKUP($A208,PredictionTable,MATCH(K$1,Analysts,0),FALSE),60)</f>
        <v>60</v>
      </c>
      <c r="L208">
        <f>_xlfn.IFNA(VLOOKUP($A208,PredictionTable,MATCH(L$1,Analysts,0),FALSE),60)</f>
        <v>60</v>
      </c>
      <c r="M208">
        <f>_xlfn.IFNA(VLOOKUP($A208,PredictionTable,MATCH(M$1,Analysts,0),FALSE),60)</f>
        <v>60</v>
      </c>
      <c r="N208">
        <f>_xlfn.IFNA(VLOOKUP($A208,PredictionTable,MATCH(N$1,Analysts,0),FALSE),60)</f>
        <v>60</v>
      </c>
      <c r="O208">
        <f>_xlfn.IFNA(VLOOKUP($A208,PredictionTable,MATCH(O$1,Analysts,0),FALSE),60)</f>
        <v>60</v>
      </c>
      <c r="P208">
        <f>_xlfn.IFNA(VLOOKUP($A208,PredictionTable,MATCH(P$1,Analysts,0),FALSE),60)</f>
        <v>60</v>
      </c>
      <c r="V208" s="7" t="s">
        <v>589</v>
      </c>
    </row>
    <row r="209" spans="1:22" x14ac:dyDescent="0.45">
      <c r="A209" s="1" t="s">
        <v>213</v>
      </c>
      <c r="B209" s="1" t="s">
        <v>84</v>
      </c>
      <c r="C209" s="1">
        <f>INDEX(T_Performances,MATCH($A209,T_Names,0))</f>
        <v>0</v>
      </c>
      <c r="D209">
        <v>1.7</v>
      </c>
      <c r="E209" s="1">
        <f>INDEX(T_Avg_PPG,MATCH($A209,T_Names,0))</f>
        <v>1.7</v>
      </c>
      <c r="F209">
        <f>1+COUNTIFS(T_Total,"&gt;"&amp;D209,T_Pos,$B209)</f>
        <v>130</v>
      </c>
      <c r="G209">
        <f>1+COUNTIFS(T_Avg_PPG,"&gt;"&amp;E209,T_Pos,$B209)</f>
        <v>127</v>
      </c>
      <c r="H209">
        <f>_xlfn.IFNA(VLOOKUP($A209,PredictionTable,MATCH(H$1,Analysts,0),FALSE),60)</f>
        <v>60</v>
      </c>
      <c r="I209">
        <f>_xlfn.IFNA(VLOOKUP($A209,PredictionTable,MATCH(I$1,Analysts,0),FALSE),60)</f>
        <v>60</v>
      </c>
      <c r="J209">
        <f>_xlfn.IFNA(VLOOKUP($A209,PredictionTable,MATCH(J$1,Analysts,0),FALSE),60)</f>
        <v>60</v>
      </c>
      <c r="K209">
        <f>_xlfn.IFNA(VLOOKUP($A209,PredictionTable,MATCH(K$1,Analysts,0),FALSE),60)</f>
        <v>60</v>
      </c>
      <c r="L209">
        <f>_xlfn.IFNA(VLOOKUP($A209,PredictionTable,MATCH(L$1,Analysts,0),FALSE),60)</f>
        <v>60</v>
      </c>
      <c r="M209">
        <f>_xlfn.IFNA(VLOOKUP($A209,PredictionTable,MATCH(M$1,Analysts,0),FALSE),60)</f>
        <v>60</v>
      </c>
      <c r="N209">
        <f>_xlfn.IFNA(VLOOKUP($A209,PredictionTable,MATCH(N$1,Analysts,0),FALSE),60)</f>
        <v>60</v>
      </c>
      <c r="O209">
        <f>_xlfn.IFNA(VLOOKUP($A209,PredictionTable,MATCH(O$1,Analysts,0),FALSE),60)</f>
        <v>60</v>
      </c>
      <c r="P209">
        <f>_xlfn.IFNA(VLOOKUP($A209,PredictionTable,MATCH(P$1,Analysts,0),FALSE),60)</f>
        <v>60</v>
      </c>
      <c r="V209" s="7" t="s">
        <v>589</v>
      </c>
    </row>
    <row r="210" spans="1:22" x14ac:dyDescent="0.45">
      <c r="A210" s="1" t="s">
        <v>214</v>
      </c>
      <c r="B210" s="1" t="s">
        <v>84</v>
      </c>
      <c r="C210" s="1">
        <f>INDEX(T_Performances,MATCH($A210,T_Names,0))</f>
        <v>0</v>
      </c>
      <c r="D210">
        <v>1.5</v>
      </c>
      <c r="E210" s="1">
        <f>INDEX(T_Avg_PPG,MATCH($A210,T_Names,0))</f>
        <v>1.5</v>
      </c>
      <c r="F210">
        <f>1+COUNTIFS(T_Total,"&gt;"&amp;D210,T_Pos,$B210)</f>
        <v>131</v>
      </c>
      <c r="G210">
        <f>1+COUNTIFS(T_Avg_PPG,"&gt;"&amp;E210,T_Pos,$B210)</f>
        <v>131</v>
      </c>
      <c r="H210">
        <f>_xlfn.IFNA(VLOOKUP($A210,PredictionTable,MATCH(H$1,Analysts,0),FALSE),60)</f>
        <v>60</v>
      </c>
      <c r="I210">
        <f>_xlfn.IFNA(VLOOKUP($A210,PredictionTable,MATCH(I$1,Analysts,0),FALSE),60)</f>
        <v>60</v>
      </c>
      <c r="J210">
        <f>_xlfn.IFNA(VLOOKUP($A210,PredictionTable,MATCH(J$1,Analysts,0),FALSE),60)</f>
        <v>60</v>
      </c>
      <c r="K210">
        <f>_xlfn.IFNA(VLOOKUP($A210,PredictionTable,MATCH(K$1,Analysts,0),FALSE),60)</f>
        <v>60</v>
      </c>
      <c r="L210">
        <f>_xlfn.IFNA(VLOOKUP($A210,PredictionTable,MATCH(L$1,Analysts,0),FALSE),60)</f>
        <v>60</v>
      </c>
      <c r="M210">
        <f>_xlfn.IFNA(VLOOKUP($A210,PredictionTable,MATCH(M$1,Analysts,0),FALSE),60)</f>
        <v>60</v>
      </c>
      <c r="N210">
        <f>_xlfn.IFNA(VLOOKUP($A210,PredictionTable,MATCH(N$1,Analysts,0),FALSE),60)</f>
        <v>60</v>
      </c>
      <c r="O210">
        <f>_xlfn.IFNA(VLOOKUP($A210,PredictionTable,MATCH(O$1,Analysts,0),FALSE),60)</f>
        <v>60</v>
      </c>
      <c r="P210">
        <f>_xlfn.IFNA(VLOOKUP($A210,PredictionTable,MATCH(P$1,Analysts,0),FALSE),60)</f>
        <v>60</v>
      </c>
      <c r="V210" s="7" t="s">
        <v>589</v>
      </c>
    </row>
    <row r="211" spans="1:22" x14ac:dyDescent="0.45">
      <c r="A211" s="1" t="s">
        <v>215</v>
      </c>
      <c r="B211" s="1" t="s">
        <v>84</v>
      </c>
      <c r="C211" s="1">
        <f>INDEX(T_Performances,MATCH($A211,T_Names,0))</f>
        <v>0</v>
      </c>
      <c r="D211">
        <v>1.4</v>
      </c>
      <c r="E211" s="1">
        <f>INDEX(T_Avg_PPG,MATCH($A211,T_Names,0))</f>
        <v>1.4</v>
      </c>
      <c r="F211">
        <f>1+COUNTIFS(T_Total,"&gt;"&amp;D211,T_Pos,$B211)</f>
        <v>132</v>
      </c>
      <c r="G211">
        <f>1+COUNTIFS(T_Avg_PPG,"&gt;"&amp;E211,T_Pos,$B211)</f>
        <v>132</v>
      </c>
      <c r="H211">
        <f>_xlfn.IFNA(VLOOKUP($A211,PredictionTable,MATCH(H$1,Analysts,0),FALSE),60)</f>
        <v>60</v>
      </c>
      <c r="I211">
        <f>_xlfn.IFNA(VLOOKUP($A211,PredictionTable,MATCH(I$1,Analysts,0),FALSE),60)</f>
        <v>60</v>
      </c>
      <c r="J211">
        <f>_xlfn.IFNA(VLOOKUP($A211,PredictionTable,MATCH(J$1,Analysts,0),FALSE),60)</f>
        <v>60</v>
      </c>
      <c r="K211">
        <f>_xlfn.IFNA(VLOOKUP($A211,PredictionTable,MATCH(K$1,Analysts,0),FALSE),60)</f>
        <v>60</v>
      </c>
      <c r="L211">
        <f>_xlfn.IFNA(VLOOKUP($A211,PredictionTable,MATCH(L$1,Analysts,0),FALSE),60)</f>
        <v>60</v>
      </c>
      <c r="M211">
        <f>_xlfn.IFNA(VLOOKUP($A211,PredictionTable,MATCH(M$1,Analysts,0),FALSE),60)</f>
        <v>60</v>
      </c>
      <c r="N211">
        <f>_xlfn.IFNA(VLOOKUP($A211,PredictionTable,MATCH(N$1,Analysts,0),FALSE),60)</f>
        <v>60</v>
      </c>
      <c r="O211">
        <f>_xlfn.IFNA(VLOOKUP($A211,PredictionTable,MATCH(O$1,Analysts,0),FALSE),60)</f>
        <v>60</v>
      </c>
      <c r="P211">
        <f>_xlfn.IFNA(VLOOKUP($A211,PredictionTable,MATCH(P$1,Analysts,0),FALSE),60)</f>
        <v>60</v>
      </c>
      <c r="V211" s="7" t="s">
        <v>589</v>
      </c>
    </row>
    <row r="212" spans="1:22" x14ac:dyDescent="0.45">
      <c r="A212" s="1" t="s">
        <v>216</v>
      </c>
      <c r="B212" s="1" t="s">
        <v>84</v>
      </c>
      <c r="C212" s="1">
        <f>INDEX(T_Performances,MATCH($A212,T_Names,0))</f>
        <v>0</v>
      </c>
      <c r="D212">
        <v>1.4</v>
      </c>
      <c r="E212" s="1">
        <f>INDEX(T_Avg_PPG,MATCH($A212,T_Names,0))</f>
        <v>1.4</v>
      </c>
      <c r="F212">
        <f>1+COUNTIFS(T_Total,"&gt;"&amp;D212,T_Pos,$B212)</f>
        <v>132</v>
      </c>
      <c r="G212">
        <f>1+COUNTIFS(T_Avg_PPG,"&gt;"&amp;E212,T_Pos,$B212)</f>
        <v>132</v>
      </c>
      <c r="H212">
        <f>_xlfn.IFNA(VLOOKUP($A212,PredictionTable,MATCH(H$1,Analysts,0),FALSE),60)</f>
        <v>60</v>
      </c>
      <c r="I212">
        <f>_xlfn.IFNA(VLOOKUP($A212,PredictionTable,MATCH(I$1,Analysts,0),FALSE),60)</f>
        <v>60</v>
      </c>
      <c r="J212">
        <f>_xlfn.IFNA(VLOOKUP($A212,PredictionTable,MATCH(J$1,Analysts,0),FALSE),60)</f>
        <v>60</v>
      </c>
      <c r="K212">
        <f>_xlfn.IFNA(VLOOKUP($A212,PredictionTable,MATCH(K$1,Analysts,0),FALSE),60)</f>
        <v>60</v>
      </c>
      <c r="L212">
        <f>_xlfn.IFNA(VLOOKUP($A212,PredictionTable,MATCH(L$1,Analysts,0),FALSE),60)</f>
        <v>60</v>
      </c>
      <c r="M212">
        <f>_xlfn.IFNA(VLOOKUP($A212,PredictionTable,MATCH(M$1,Analysts,0),FALSE),60)</f>
        <v>60</v>
      </c>
      <c r="N212">
        <f>_xlfn.IFNA(VLOOKUP($A212,PredictionTable,MATCH(N$1,Analysts,0),FALSE),60)</f>
        <v>60</v>
      </c>
      <c r="O212">
        <f>_xlfn.IFNA(VLOOKUP($A212,PredictionTable,MATCH(O$1,Analysts,0),FALSE),60)</f>
        <v>60</v>
      </c>
      <c r="P212">
        <f>_xlfn.IFNA(VLOOKUP($A212,PredictionTable,MATCH(P$1,Analysts,0),FALSE),60)</f>
        <v>60</v>
      </c>
      <c r="V212" s="7" t="s">
        <v>589</v>
      </c>
    </row>
    <row r="213" spans="1:22" x14ac:dyDescent="0.45">
      <c r="A213" s="1" t="s">
        <v>217</v>
      </c>
      <c r="B213" s="1" t="s">
        <v>84</v>
      </c>
      <c r="C213" s="1">
        <f>INDEX(T_Performances,MATCH($A213,T_Names,0))</f>
        <v>0</v>
      </c>
      <c r="D213">
        <v>1.3</v>
      </c>
      <c r="E213" s="1">
        <f>INDEX(T_Avg_PPG,MATCH($A213,T_Names,0))</f>
        <v>1.3</v>
      </c>
      <c r="F213">
        <f>1+COUNTIFS(T_Total,"&gt;"&amp;D213,T_Pos,$B213)</f>
        <v>134</v>
      </c>
      <c r="G213">
        <f>1+COUNTIFS(T_Avg_PPG,"&gt;"&amp;E213,T_Pos,$B213)</f>
        <v>134</v>
      </c>
      <c r="H213">
        <f>_xlfn.IFNA(VLOOKUP($A213,PredictionTable,MATCH(H$1,Analysts,0),FALSE),60)</f>
        <v>60</v>
      </c>
      <c r="I213">
        <f>_xlfn.IFNA(VLOOKUP($A213,PredictionTable,MATCH(I$1,Analysts,0),FALSE),60)</f>
        <v>60</v>
      </c>
      <c r="J213">
        <f>_xlfn.IFNA(VLOOKUP($A213,PredictionTable,MATCH(J$1,Analysts,0),FALSE),60)</f>
        <v>60</v>
      </c>
      <c r="K213">
        <f>_xlfn.IFNA(VLOOKUP($A213,PredictionTable,MATCH(K$1,Analysts,0),FALSE),60)</f>
        <v>60</v>
      </c>
      <c r="L213">
        <f>_xlfn.IFNA(VLOOKUP($A213,PredictionTable,MATCH(L$1,Analysts,0),FALSE),60)</f>
        <v>60</v>
      </c>
      <c r="M213">
        <f>_xlfn.IFNA(VLOOKUP($A213,PredictionTable,MATCH(M$1,Analysts,0),FALSE),60)</f>
        <v>60</v>
      </c>
      <c r="N213">
        <f>_xlfn.IFNA(VLOOKUP($A213,PredictionTable,MATCH(N$1,Analysts,0),FALSE),60)</f>
        <v>60</v>
      </c>
      <c r="O213">
        <f>_xlfn.IFNA(VLOOKUP($A213,PredictionTable,MATCH(O$1,Analysts,0),FALSE),60)</f>
        <v>60</v>
      </c>
      <c r="P213">
        <f>_xlfn.IFNA(VLOOKUP($A213,PredictionTable,MATCH(P$1,Analysts,0),FALSE),60)</f>
        <v>60</v>
      </c>
      <c r="V213" s="7" t="s">
        <v>589</v>
      </c>
    </row>
    <row r="214" spans="1:22" x14ac:dyDescent="0.45">
      <c r="A214" s="1" t="s">
        <v>218</v>
      </c>
      <c r="B214" s="1" t="s">
        <v>84</v>
      </c>
      <c r="C214" s="1">
        <f>INDEX(T_Performances,MATCH($A214,T_Names,0))</f>
        <v>0</v>
      </c>
      <c r="D214">
        <v>0.7</v>
      </c>
      <c r="E214" s="1">
        <f>INDEX(T_Avg_PPG,MATCH($A214,T_Names,0))</f>
        <v>0.7</v>
      </c>
      <c r="F214">
        <f>1+COUNTIFS(T_Total,"&gt;"&amp;D214,T_Pos,$B214)</f>
        <v>135</v>
      </c>
      <c r="G214">
        <f>1+COUNTIFS(T_Avg_PPG,"&gt;"&amp;E214,T_Pos,$B214)</f>
        <v>135</v>
      </c>
      <c r="H214">
        <f>_xlfn.IFNA(VLOOKUP($A214,PredictionTable,MATCH(H$1,Analysts,0),FALSE),60)</f>
        <v>60</v>
      </c>
      <c r="I214">
        <f>_xlfn.IFNA(VLOOKUP($A214,PredictionTable,MATCH(I$1,Analysts,0),FALSE),60)</f>
        <v>60</v>
      </c>
      <c r="J214">
        <f>_xlfn.IFNA(VLOOKUP($A214,PredictionTable,MATCH(J$1,Analysts,0),FALSE),60)</f>
        <v>60</v>
      </c>
      <c r="K214">
        <f>_xlfn.IFNA(VLOOKUP($A214,PredictionTable,MATCH(K$1,Analysts,0),FALSE),60)</f>
        <v>60</v>
      </c>
      <c r="L214">
        <f>_xlfn.IFNA(VLOOKUP($A214,PredictionTable,MATCH(L$1,Analysts,0),FALSE),60)</f>
        <v>60</v>
      </c>
      <c r="M214">
        <f>_xlfn.IFNA(VLOOKUP($A214,PredictionTable,MATCH(M$1,Analysts,0),FALSE),60)</f>
        <v>60</v>
      </c>
      <c r="N214">
        <f>_xlfn.IFNA(VLOOKUP($A214,PredictionTable,MATCH(N$1,Analysts,0),FALSE),60)</f>
        <v>60</v>
      </c>
      <c r="O214">
        <f>_xlfn.IFNA(VLOOKUP($A214,PredictionTable,MATCH(O$1,Analysts,0),FALSE),60)</f>
        <v>60</v>
      </c>
      <c r="P214">
        <f>_xlfn.IFNA(VLOOKUP($A214,PredictionTable,MATCH(P$1,Analysts,0),FALSE),60)</f>
        <v>60</v>
      </c>
      <c r="V214" s="7" t="s">
        <v>589</v>
      </c>
    </row>
    <row r="215" spans="1:22" x14ac:dyDescent="0.45">
      <c r="A215" s="1" t="s">
        <v>219</v>
      </c>
      <c r="B215" s="1" t="s">
        <v>84</v>
      </c>
      <c r="C215" s="1">
        <f>INDEX(T_Performances,MATCH($A215,T_Names,0))</f>
        <v>0</v>
      </c>
      <c r="D215">
        <v>0.7</v>
      </c>
      <c r="E215" s="1">
        <f>INDEX(T_Avg_PPG,MATCH($A215,T_Names,0))</f>
        <v>0.7</v>
      </c>
      <c r="F215">
        <f>1+COUNTIFS(T_Total,"&gt;"&amp;D215,T_Pos,$B215)</f>
        <v>135</v>
      </c>
      <c r="G215">
        <f>1+COUNTIFS(T_Avg_PPG,"&gt;"&amp;E215,T_Pos,$B215)</f>
        <v>135</v>
      </c>
      <c r="H215">
        <f>_xlfn.IFNA(VLOOKUP($A215,PredictionTable,MATCH(H$1,Analysts,0),FALSE),60)</f>
        <v>60</v>
      </c>
      <c r="I215">
        <f>_xlfn.IFNA(VLOOKUP($A215,PredictionTable,MATCH(I$1,Analysts,0),FALSE),60)</f>
        <v>60</v>
      </c>
      <c r="J215">
        <f>_xlfn.IFNA(VLOOKUP($A215,PredictionTable,MATCH(J$1,Analysts,0),FALSE),60)</f>
        <v>60</v>
      </c>
      <c r="K215">
        <f>_xlfn.IFNA(VLOOKUP($A215,PredictionTable,MATCH(K$1,Analysts,0),FALSE),60)</f>
        <v>60</v>
      </c>
      <c r="L215">
        <f>_xlfn.IFNA(VLOOKUP($A215,PredictionTable,MATCH(L$1,Analysts,0),FALSE),60)</f>
        <v>60</v>
      </c>
      <c r="M215">
        <f>_xlfn.IFNA(VLOOKUP($A215,PredictionTable,MATCH(M$1,Analysts,0),FALSE),60)</f>
        <v>60</v>
      </c>
      <c r="N215">
        <f>_xlfn.IFNA(VLOOKUP($A215,PredictionTable,MATCH(N$1,Analysts,0),FALSE),60)</f>
        <v>60</v>
      </c>
      <c r="O215">
        <f>_xlfn.IFNA(VLOOKUP($A215,PredictionTable,MATCH(O$1,Analysts,0),FALSE),60)</f>
        <v>60</v>
      </c>
      <c r="P215">
        <f>_xlfn.IFNA(VLOOKUP($A215,PredictionTable,MATCH(P$1,Analysts,0),FALSE),60)</f>
        <v>60</v>
      </c>
      <c r="V215" s="7" t="s">
        <v>589</v>
      </c>
    </row>
    <row r="216" spans="1:22" x14ac:dyDescent="0.45">
      <c r="A216" s="1" t="s">
        <v>220</v>
      </c>
      <c r="B216" s="1" t="s">
        <v>84</v>
      </c>
      <c r="C216" s="1">
        <f>INDEX(T_Performances,MATCH($A216,T_Names,0))</f>
        <v>0</v>
      </c>
      <c r="D216">
        <v>0.5</v>
      </c>
      <c r="E216" s="1">
        <f>INDEX(T_Avg_PPG,MATCH($A216,T_Names,0))</f>
        <v>0.5</v>
      </c>
      <c r="F216">
        <f>1+COUNTIFS(T_Total,"&gt;"&amp;D216,T_Pos,$B216)</f>
        <v>137</v>
      </c>
      <c r="G216">
        <f>1+COUNTIFS(T_Avg_PPG,"&gt;"&amp;E216,T_Pos,$B216)</f>
        <v>137</v>
      </c>
      <c r="H216">
        <f>_xlfn.IFNA(VLOOKUP($A216,PredictionTable,MATCH(H$1,Analysts,0),FALSE),60)</f>
        <v>60</v>
      </c>
      <c r="I216">
        <f>_xlfn.IFNA(VLOOKUP($A216,PredictionTable,MATCH(I$1,Analysts,0),FALSE),60)</f>
        <v>60</v>
      </c>
      <c r="J216">
        <f>_xlfn.IFNA(VLOOKUP($A216,PredictionTable,MATCH(J$1,Analysts,0),FALSE),60)</f>
        <v>60</v>
      </c>
      <c r="K216">
        <f>_xlfn.IFNA(VLOOKUP($A216,PredictionTable,MATCH(K$1,Analysts,0),FALSE),60)</f>
        <v>60</v>
      </c>
      <c r="L216">
        <f>_xlfn.IFNA(VLOOKUP($A216,PredictionTable,MATCH(L$1,Analysts,0),FALSE),60)</f>
        <v>60</v>
      </c>
      <c r="M216">
        <f>_xlfn.IFNA(VLOOKUP($A216,PredictionTable,MATCH(M$1,Analysts,0),FALSE),60)</f>
        <v>60</v>
      </c>
      <c r="N216">
        <f>_xlfn.IFNA(VLOOKUP($A216,PredictionTable,MATCH(N$1,Analysts,0),FALSE),60)</f>
        <v>60</v>
      </c>
      <c r="O216">
        <f>_xlfn.IFNA(VLOOKUP($A216,PredictionTable,MATCH(O$1,Analysts,0),FALSE),60)</f>
        <v>60</v>
      </c>
      <c r="P216">
        <f>_xlfn.IFNA(VLOOKUP($A216,PredictionTable,MATCH(P$1,Analysts,0),FALSE),60)</f>
        <v>60</v>
      </c>
      <c r="V216" s="7" t="s">
        <v>589</v>
      </c>
    </row>
    <row r="217" spans="1:22" x14ac:dyDescent="0.45">
      <c r="A217" s="1" t="s">
        <v>221</v>
      </c>
      <c r="B217" s="1" t="s">
        <v>84</v>
      </c>
      <c r="C217" s="1">
        <f>INDEX(T_Performances,MATCH($A217,T_Names,0))</f>
        <v>0</v>
      </c>
      <c r="D217">
        <v>0.4</v>
      </c>
      <c r="E217" s="1">
        <f>INDEX(T_Avg_PPG,MATCH($A217,T_Names,0))</f>
        <v>0.4</v>
      </c>
      <c r="F217">
        <f>1+COUNTIFS(T_Total,"&gt;"&amp;D217,T_Pos,$B217)</f>
        <v>138</v>
      </c>
      <c r="G217">
        <f>1+COUNTIFS(T_Avg_PPG,"&gt;"&amp;E217,T_Pos,$B217)</f>
        <v>138</v>
      </c>
      <c r="H217">
        <f>_xlfn.IFNA(VLOOKUP($A217,PredictionTable,MATCH(H$1,Analysts,0),FALSE),60)</f>
        <v>60</v>
      </c>
      <c r="I217">
        <f>_xlfn.IFNA(VLOOKUP($A217,PredictionTable,MATCH(I$1,Analysts,0),FALSE),60)</f>
        <v>60</v>
      </c>
      <c r="J217">
        <f>_xlfn.IFNA(VLOOKUP($A217,PredictionTable,MATCH(J$1,Analysts,0),FALSE),60)</f>
        <v>60</v>
      </c>
      <c r="K217">
        <f>_xlfn.IFNA(VLOOKUP($A217,PredictionTable,MATCH(K$1,Analysts,0),FALSE),60)</f>
        <v>60</v>
      </c>
      <c r="L217">
        <f>_xlfn.IFNA(VLOOKUP($A217,PredictionTable,MATCH(L$1,Analysts,0),FALSE),60)</f>
        <v>60</v>
      </c>
      <c r="M217">
        <f>_xlfn.IFNA(VLOOKUP($A217,PredictionTable,MATCH(M$1,Analysts,0),FALSE),60)</f>
        <v>60</v>
      </c>
      <c r="N217">
        <f>_xlfn.IFNA(VLOOKUP($A217,PredictionTable,MATCH(N$1,Analysts,0),FALSE),60)</f>
        <v>60</v>
      </c>
      <c r="O217">
        <f>_xlfn.IFNA(VLOOKUP($A217,PredictionTable,MATCH(O$1,Analysts,0),FALSE),60)</f>
        <v>60</v>
      </c>
      <c r="P217">
        <f>_xlfn.IFNA(VLOOKUP($A217,PredictionTable,MATCH(P$1,Analysts,0),FALSE),60)</f>
        <v>60</v>
      </c>
      <c r="V217" s="7" t="s">
        <v>589</v>
      </c>
    </row>
    <row r="218" spans="1:22" x14ac:dyDescent="0.45">
      <c r="A218" s="1" t="s">
        <v>222</v>
      </c>
      <c r="B218" s="1" t="s">
        <v>84</v>
      </c>
      <c r="C218" s="1">
        <f>INDEX(T_Performances,MATCH($A218,T_Names,0))</f>
        <v>0</v>
      </c>
      <c r="D218">
        <v>0.4</v>
      </c>
      <c r="E218" s="1">
        <f>INDEX(T_Avg_PPG,MATCH($A218,T_Names,0))</f>
        <v>0.4</v>
      </c>
      <c r="F218">
        <f>1+COUNTIFS(T_Total,"&gt;"&amp;D218,T_Pos,$B218)</f>
        <v>138</v>
      </c>
      <c r="G218">
        <f>1+COUNTIFS(T_Avg_PPG,"&gt;"&amp;E218,T_Pos,$B218)</f>
        <v>138</v>
      </c>
      <c r="H218">
        <f>_xlfn.IFNA(VLOOKUP($A218,PredictionTable,MATCH(H$1,Analysts,0),FALSE),60)</f>
        <v>60</v>
      </c>
      <c r="I218">
        <f>_xlfn.IFNA(VLOOKUP($A218,PredictionTable,MATCH(I$1,Analysts,0),FALSE),60)</f>
        <v>60</v>
      </c>
      <c r="J218">
        <f>_xlfn.IFNA(VLOOKUP($A218,PredictionTable,MATCH(J$1,Analysts,0),FALSE),60)</f>
        <v>60</v>
      </c>
      <c r="K218">
        <f>_xlfn.IFNA(VLOOKUP($A218,PredictionTable,MATCH(K$1,Analysts,0),FALSE),60)</f>
        <v>60</v>
      </c>
      <c r="L218">
        <f>_xlfn.IFNA(VLOOKUP($A218,PredictionTable,MATCH(L$1,Analysts,0),FALSE),60)</f>
        <v>60</v>
      </c>
      <c r="M218">
        <f>_xlfn.IFNA(VLOOKUP($A218,PredictionTable,MATCH(M$1,Analysts,0),FALSE),60)</f>
        <v>60</v>
      </c>
      <c r="N218">
        <f>_xlfn.IFNA(VLOOKUP($A218,PredictionTable,MATCH(N$1,Analysts,0),FALSE),60)</f>
        <v>60</v>
      </c>
      <c r="O218">
        <f>_xlfn.IFNA(VLOOKUP($A218,PredictionTable,MATCH(O$1,Analysts,0),FALSE),60)</f>
        <v>60</v>
      </c>
      <c r="P218">
        <f>_xlfn.IFNA(VLOOKUP($A218,PredictionTable,MATCH(P$1,Analysts,0),FALSE),60)</f>
        <v>60</v>
      </c>
      <c r="V218" s="7" t="s">
        <v>589</v>
      </c>
    </row>
    <row r="219" spans="1:22" x14ac:dyDescent="0.45">
      <c r="A219" s="1" t="s">
        <v>223</v>
      </c>
      <c r="B219" s="1" t="s">
        <v>84</v>
      </c>
      <c r="C219" s="1">
        <f>INDEX(T_Performances,MATCH($A219,T_Names,0))</f>
        <v>0</v>
      </c>
      <c r="D219">
        <v>0.3</v>
      </c>
      <c r="E219" s="1">
        <f>INDEX(T_Avg_PPG,MATCH($A219,T_Names,0))</f>
        <v>0.3</v>
      </c>
      <c r="F219">
        <f>1+COUNTIFS(T_Total,"&gt;"&amp;D219,T_Pos,$B219)</f>
        <v>140</v>
      </c>
      <c r="G219">
        <f>1+COUNTIFS(T_Avg_PPG,"&gt;"&amp;E219,T_Pos,$B219)</f>
        <v>140</v>
      </c>
      <c r="H219">
        <f>_xlfn.IFNA(VLOOKUP($A219,PredictionTable,MATCH(H$1,Analysts,0),FALSE),60)</f>
        <v>60</v>
      </c>
      <c r="I219">
        <f>_xlfn.IFNA(VLOOKUP($A219,PredictionTable,MATCH(I$1,Analysts,0),FALSE),60)</f>
        <v>60</v>
      </c>
      <c r="J219">
        <f>_xlfn.IFNA(VLOOKUP($A219,PredictionTable,MATCH(J$1,Analysts,0),FALSE),60)</f>
        <v>60</v>
      </c>
      <c r="K219">
        <f>_xlfn.IFNA(VLOOKUP($A219,PredictionTable,MATCH(K$1,Analysts,0),FALSE),60)</f>
        <v>60</v>
      </c>
      <c r="L219">
        <f>_xlfn.IFNA(VLOOKUP($A219,PredictionTable,MATCH(L$1,Analysts,0),FALSE),60)</f>
        <v>60</v>
      </c>
      <c r="M219">
        <f>_xlfn.IFNA(VLOOKUP($A219,PredictionTable,MATCH(M$1,Analysts,0),FALSE),60)</f>
        <v>60</v>
      </c>
      <c r="N219">
        <f>_xlfn.IFNA(VLOOKUP($A219,PredictionTable,MATCH(N$1,Analysts,0),FALSE),60)</f>
        <v>60</v>
      </c>
      <c r="O219">
        <f>_xlfn.IFNA(VLOOKUP($A219,PredictionTable,MATCH(O$1,Analysts,0),FALSE),60)</f>
        <v>60</v>
      </c>
      <c r="P219">
        <f>_xlfn.IFNA(VLOOKUP($A219,PredictionTable,MATCH(P$1,Analysts,0),FALSE),60)</f>
        <v>60</v>
      </c>
      <c r="V219" s="7" t="s">
        <v>589</v>
      </c>
    </row>
    <row r="220" spans="1:22" x14ac:dyDescent="0.45">
      <c r="A220" s="1" t="s">
        <v>224</v>
      </c>
      <c r="B220" s="1" t="s">
        <v>84</v>
      </c>
      <c r="C220" s="1">
        <f>INDEX(T_Performances,MATCH($A220,T_Names,0))</f>
        <v>0</v>
      </c>
      <c r="D220">
        <v>0.2</v>
      </c>
      <c r="E220" s="1">
        <f>INDEX(T_Avg_PPG,MATCH($A220,T_Names,0))</f>
        <v>0.2</v>
      </c>
      <c r="F220">
        <f>1+COUNTIFS(T_Total,"&gt;"&amp;D220,T_Pos,$B220)</f>
        <v>141</v>
      </c>
      <c r="G220">
        <f>1+COUNTIFS(T_Avg_PPG,"&gt;"&amp;E220,T_Pos,$B220)</f>
        <v>141</v>
      </c>
      <c r="H220">
        <f>_xlfn.IFNA(VLOOKUP($A220,PredictionTable,MATCH(H$1,Analysts,0),FALSE),60)</f>
        <v>60</v>
      </c>
      <c r="I220">
        <f>_xlfn.IFNA(VLOOKUP($A220,PredictionTable,MATCH(I$1,Analysts,0),FALSE),60)</f>
        <v>60</v>
      </c>
      <c r="J220">
        <f>_xlfn.IFNA(VLOOKUP($A220,PredictionTable,MATCH(J$1,Analysts,0),FALSE),60)</f>
        <v>60</v>
      </c>
      <c r="K220">
        <f>_xlfn.IFNA(VLOOKUP($A220,PredictionTable,MATCH(K$1,Analysts,0),FALSE),60)</f>
        <v>60</v>
      </c>
      <c r="L220">
        <f>_xlfn.IFNA(VLOOKUP($A220,PredictionTable,MATCH(L$1,Analysts,0),FALSE),60)</f>
        <v>60</v>
      </c>
      <c r="M220">
        <f>_xlfn.IFNA(VLOOKUP($A220,PredictionTable,MATCH(M$1,Analysts,0),FALSE),60)</f>
        <v>60</v>
      </c>
      <c r="N220">
        <f>_xlfn.IFNA(VLOOKUP($A220,PredictionTable,MATCH(N$1,Analysts,0),FALSE),60)</f>
        <v>60</v>
      </c>
      <c r="O220">
        <f>_xlfn.IFNA(VLOOKUP($A220,PredictionTable,MATCH(O$1,Analysts,0),FALSE),60)</f>
        <v>60</v>
      </c>
      <c r="P220">
        <f>_xlfn.IFNA(VLOOKUP($A220,PredictionTable,MATCH(P$1,Analysts,0),FALSE),60)</f>
        <v>60</v>
      </c>
      <c r="V220" s="7" t="s">
        <v>589</v>
      </c>
    </row>
    <row r="221" spans="1:22" x14ac:dyDescent="0.45">
      <c r="A221" s="1" t="s">
        <v>225</v>
      </c>
      <c r="B221" s="1" t="s">
        <v>84</v>
      </c>
      <c r="C221" s="1">
        <f>INDEX(T_Performances,MATCH($A221,T_Names,0))</f>
        <v>0</v>
      </c>
      <c r="D221">
        <v>0.2</v>
      </c>
      <c r="E221" s="1">
        <f>INDEX(T_Avg_PPG,MATCH($A221,T_Names,0))</f>
        <v>0.2</v>
      </c>
      <c r="F221">
        <f>1+COUNTIFS(T_Total,"&gt;"&amp;D221,T_Pos,$B221)</f>
        <v>141</v>
      </c>
      <c r="G221">
        <f>1+COUNTIFS(T_Avg_PPG,"&gt;"&amp;E221,T_Pos,$B221)</f>
        <v>141</v>
      </c>
      <c r="H221">
        <f>_xlfn.IFNA(VLOOKUP($A221,PredictionTable,MATCH(H$1,Analysts,0),FALSE),60)</f>
        <v>60</v>
      </c>
      <c r="I221">
        <f>_xlfn.IFNA(VLOOKUP($A221,PredictionTable,MATCH(I$1,Analysts,0),FALSE),60)</f>
        <v>60</v>
      </c>
      <c r="J221">
        <f>_xlfn.IFNA(VLOOKUP($A221,PredictionTable,MATCH(J$1,Analysts,0),FALSE),60)</f>
        <v>60</v>
      </c>
      <c r="K221">
        <f>_xlfn.IFNA(VLOOKUP($A221,PredictionTable,MATCH(K$1,Analysts,0),FALSE),60)</f>
        <v>60</v>
      </c>
      <c r="L221">
        <f>_xlfn.IFNA(VLOOKUP($A221,PredictionTable,MATCH(L$1,Analysts,0),FALSE),60)</f>
        <v>60</v>
      </c>
      <c r="M221">
        <f>_xlfn.IFNA(VLOOKUP($A221,PredictionTable,MATCH(M$1,Analysts,0),FALSE),60)</f>
        <v>60</v>
      </c>
      <c r="N221">
        <f>_xlfn.IFNA(VLOOKUP($A221,PredictionTable,MATCH(N$1,Analysts,0),FALSE),60)</f>
        <v>60</v>
      </c>
      <c r="O221">
        <f>_xlfn.IFNA(VLOOKUP($A221,PredictionTable,MATCH(O$1,Analysts,0),FALSE),60)</f>
        <v>60</v>
      </c>
      <c r="P221">
        <f>_xlfn.IFNA(VLOOKUP($A221,PredictionTable,MATCH(P$1,Analysts,0),FALSE),60)</f>
        <v>60</v>
      </c>
      <c r="V221" s="7" t="s">
        <v>589</v>
      </c>
    </row>
    <row r="222" spans="1:22" x14ac:dyDescent="0.45">
      <c r="A222" s="1" t="s">
        <v>226</v>
      </c>
      <c r="B222" s="1" t="s">
        <v>84</v>
      </c>
      <c r="C222" s="1">
        <f>INDEX(T_Performances,MATCH($A222,T_Names,0))</f>
        <v>0</v>
      </c>
      <c r="D222">
        <v>-2</v>
      </c>
      <c r="E222" s="1">
        <f>INDEX(T_Avg_PPG,MATCH($A222,T_Names,0))</f>
        <v>-2</v>
      </c>
      <c r="F222">
        <f>1+COUNTIFS(T_Total,"&gt;"&amp;D222,T_Pos,$B222)</f>
        <v>143</v>
      </c>
      <c r="G222">
        <f>1+COUNTIFS(T_Avg_PPG,"&gt;"&amp;E222,T_Pos,$B222)</f>
        <v>143</v>
      </c>
      <c r="H222">
        <f>_xlfn.IFNA(VLOOKUP($A222,PredictionTable,MATCH(H$1,Analysts,0),FALSE),60)</f>
        <v>60</v>
      </c>
      <c r="I222">
        <f>_xlfn.IFNA(VLOOKUP($A222,PredictionTable,MATCH(I$1,Analysts,0),FALSE),60)</f>
        <v>60</v>
      </c>
      <c r="J222">
        <f>_xlfn.IFNA(VLOOKUP($A222,PredictionTable,MATCH(J$1,Analysts,0),FALSE),60)</f>
        <v>60</v>
      </c>
      <c r="K222">
        <f>_xlfn.IFNA(VLOOKUP($A222,PredictionTable,MATCH(K$1,Analysts,0),FALSE),60)</f>
        <v>60</v>
      </c>
      <c r="L222">
        <f>_xlfn.IFNA(VLOOKUP($A222,PredictionTable,MATCH(L$1,Analysts,0),FALSE),60)</f>
        <v>60</v>
      </c>
      <c r="M222">
        <f>_xlfn.IFNA(VLOOKUP($A222,PredictionTable,MATCH(M$1,Analysts,0),FALSE),60)</f>
        <v>60</v>
      </c>
      <c r="N222">
        <f>_xlfn.IFNA(VLOOKUP($A222,PredictionTable,MATCH(N$1,Analysts,0),FALSE),60)</f>
        <v>60</v>
      </c>
      <c r="O222">
        <f>_xlfn.IFNA(VLOOKUP($A222,PredictionTable,MATCH(O$1,Analysts,0),FALSE),60)</f>
        <v>60</v>
      </c>
      <c r="P222">
        <f>_xlfn.IFNA(VLOOKUP($A222,PredictionTable,MATCH(P$1,Analysts,0),FALSE),60)</f>
        <v>60</v>
      </c>
      <c r="V222" s="7" t="s">
        <v>589</v>
      </c>
    </row>
    <row r="223" spans="1:22" x14ac:dyDescent="0.45">
      <c r="A223" s="1" t="s">
        <v>227</v>
      </c>
      <c r="B223" s="1" t="s">
        <v>228</v>
      </c>
      <c r="C223" s="1">
        <f>INDEX(T_Performances,MATCH($A223,T_Names,0))</f>
        <v>12</v>
      </c>
      <c r="D223">
        <v>197.6</v>
      </c>
      <c r="E223" s="1">
        <f>INDEX(T_Avg_PPG,MATCH($A223,T_Names,0))</f>
        <v>13.173333333333334</v>
      </c>
      <c r="F223">
        <f>1+COUNTIFS(T_Total,"&gt;"&amp;D223,T_Pos,$B223)</f>
        <v>2</v>
      </c>
      <c r="G223">
        <f>1+COUNTIFS(T_Avg_PPG,"&gt;"&amp;E223,T_Pos,$B223)</f>
        <v>1</v>
      </c>
      <c r="H223">
        <f>_xlfn.IFNA(VLOOKUP($A223,PredictionTable,MATCH(H$1,Analysts,0),FALSE),60)</f>
        <v>7</v>
      </c>
      <c r="I223">
        <f>_xlfn.IFNA(VLOOKUP($A223,PredictionTable,MATCH(I$1,Analysts,0),FALSE),60)</f>
        <v>6</v>
      </c>
      <c r="J223">
        <f>_xlfn.IFNA(VLOOKUP($A223,PredictionTable,MATCH(J$1,Analysts,0),FALSE),60)</f>
        <v>6</v>
      </c>
      <c r="K223">
        <f>_xlfn.IFNA(VLOOKUP($A223,PredictionTable,MATCH(K$1,Analysts,0),FALSE),60)</f>
        <v>7</v>
      </c>
      <c r="L223">
        <f>_xlfn.IFNA(VLOOKUP($A223,PredictionTable,MATCH(L$1,Analysts,0),FALSE),60)</f>
        <v>5</v>
      </c>
      <c r="M223">
        <f>_xlfn.IFNA(VLOOKUP($A223,PredictionTable,MATCH(M$1,Analysts,0),FALSE),60)</f>
        <v>6</v>
      </c>
      <c r="N223">
        <f>_xlfn.IFNA(VLOOKUP($A223,PredictionTable,MATCH(N$1,Analysts,0),FALSE),60)</f>
        <v>7</v>
      </c>
      <c r="O223">
        <f>_xlfn.IFNA(VLOOKUP($A223,PredictionTable,MATCH(O$1,Analysts,0),FALSE),60)</f>
        <v>8</v>
      </c>
      <c r="P223">
        <f>_xlfn.IFNA(VLOOKUP($A223,PredictionTable,MATCH(P$1,Analysts,0),FALSE),60)</f>
        <v>6.5</v>
      </c>
      <c r="V223" s="7" t="s">
        <v>589</v>
      </c>
    </row>
    <row r="224" spans="1:22" x14ac:dyDescent="0.45">
      <c r="A224" s="1" t="s">
        <v>229</v>
      </c>
      <c r="B224" s="1" t="s">
        <v>228</v>
      </c>
      <c r="C224" s="1">
        <f>INDEX(T_Performances,MATCH($A224,T_Names,0))</f>
        <v>12</v>
      </c>
      <c r="D224">
        <v>194.3</v>
      </c>
      <c r="E224" s="1">
        <f>INDEX(T_Avg_PPG,MATCH($A224,T_Names,0))</f>
        <v>12.143750000000001</v>
      </c>
      <c r="F224">
        <f>1+COUNTIFS(T_Total,"&gt;"&amp;D224,T_Pos,$B224)</f>
        <v>3</v>
      </c>
      <c r="G224">
        <f>1+COUNTIFS(T_Avg_PPG,"&gt;"&amp;E224,T_Pos,$B224)</f>
        <v>3</v>
      </c>
      <c r="H224">
        <f>_xlfn.IFNA(VLOOKUP($A224,PredictionTable,MATCH(H$1,Analysts,0),FALSE),60)</f>
        <v>4</v>
      </c>
      <c r="I224">
        <f>_xlfn.IFNA(VLOOKUP($A224,PredictionTable,MATCH(I$1,Analysts,0),FALSE),60)</f>
        <v>4</v>
      </c>
      <c r="J224">
        <f>_xlfn.IFNA(VLOOKUP($A224,PredictionTable,MATCH(J$1,Analysts,0),FALSE),60)</f>
        <v>4</v>
      </c>
      <c r="K224">
        <f>_xlfn.IFNA(VLOOKUP($A224,PredictionTable,MATCH(K$1,Analysts,0),FALSE),60)</f>
        <v>4</v>
      </c>
      <c r="L224">
        <f>_xlfn.IFNA(VLOOKUP($A224,PredictionTable,MATCH(L$1,Analysts,0),FALSE),60)</f>
        <v>4</v>
      </c>
      <c r="M224">
        <f>_xlfn.IFNA(VLOOKUP($A224,PredictionTable,MATCH(M$1,Analysts,0),FALSE),60)</f>
        <v>5</v>
      </c>
      <c r="N224">
        <f>_xlfn.IFNA(VLOOKUP($A224,PredictionTable,MATCH(N$1,Analysts,0),FALSE),60)</f>
        <v>5</v>
      </c>
      <c r="O224">
        <f>_xlfn.IFNA(VLOOKUP($A224,PredictionTable,MATCH(O$1,Analysts,0),FALSE),60)</f>
        <v>4</v>
      </c>
      <c r="P224">
        <f>_xlfn.IFNA(VLOOKUP($A224,PredictionTable,MATCH(P$1,Analysts,0),FALSE),60)</f>
        <v>4.3</v>
      </c>
      <c r="V224" s="7" t="s">
        <v>589</v>
      </c>
    </row>
    <row r="225" spans="1:22" x14ac:dyDescent="0.45">
      <c r="A225" s="1" t="s">
        <v>230</v>
      </c>
      <c r="B225" s="1" t="s">
        <v>228</v>
      </c>
      <c r="C225" s="1">
        <f>INDEX(T_Performances,MATCH($A225,T_Names,0))</f>
        <v>11</v>
      </c>
      <c r="D225">
        <v>178.3</v>
      </c>
      <c r="E225" s="1">
        <f>INDEX(T_Avg_PPG,MATCH($A225,T_Names,0))</f>
        <v>11.143750000000001</v>
      </c>
      <c r="F225">
        <f>1+COUNTIFS(T_Total,"&gt;"&amp;D225,T_Pos,$B225)</f>
        <v>4</v>
      </c>
      <c r="G225">
        <f>1+COUNTIFS(T_Avg_PPG,"&gt;"&amp;E225,T_Pos,$B225)</f>
        <v>5</v>
      </c>
      <c r="H225">
        <f>_xlfn.IFNA(VLOOKUP($A225,PredictionTable,MATCH(H$1,Analysts,0),FALSE),60)</f>
        <v>60</v>
      </c>
      <c r="I225">
        <f>_xlfn.IFNA(VLOOKUP($A225,PredictionTable,MATCH(I$1,Analysts,0),FALSE),60)</f>
        <v>60</v>
      </c>
      <c r="J225">
        <f>_xlfn.IFNA(VLOOKUP($A225,PredictionTable,MATCH(J$1,Analysts,0),FALSE),60)</f>
        <v>60</v>
      </c>
      <c r="K225">
        <f>_xlfn.IFNA(VLOOKUP($A225,PredictionTable,MATCH(K$1,Analysts,0),FALSE),60)</f>
        <v>60</v>
      </c>
      <c r="L225">
        <f>_xlfn.IFNA(VLOOKUP($A225,PredictionTable,MATCH(L$1,Analysts,0),FALSE),60)</f>
        <v>60</v>
      </c>
      <c r="M225">
        <f>_xlfn.IFNA(VLOOKUP($A225,PredictionTable,MATCH(M$1,Analysts,0),FALSE),60)</f>
        <v>60</v>
      </c>
      <c r="N225">
        <f>_xlfn.IFNA(VLOOKUP($A225,PredictionTable,MATCH(N$1,Analysts,0),FALSE),60)</f>
        <v>60</v>
      </c>
      <c r="O225">
        <f>_xlfn.IFNA(VLOOKUP($A225,PredictionTable,MATCH(O$1,Analysts,0),FALSE),60)</f>
        <v>60</v>
      </c>
      <c r="P225">
        <f>_xlfn.IFNA(VLOOKUP($A225,PredictionTable,MATCH(P$1,Analysts,0),FALSE),60)</f>
        <v>60</v>
      </c>
      <c r="V225" s="7" t="s">
        <v>589</v>
      </c>
    </row>
    <row r="226" spans="1:22" x14ac:dyDescent="0.45">
      <c r="A226" s="1" t="s">
        <v>231</v>
      </c>
      <c r="B226" s="1" t="s">
        <v>228</v>
      </c>
      <c r="C226" s="1">
        <f>INDEX(T_Performances,MATCH($A226,T_Names,0))</f>
        <v>12</v>
      </c>
      <c r="D226">
        <v>206.7</v>
      </c>
      <c r="E226" s="1">
        <f>INDEX(T_Avg_PPG,MATCH($A226,T_Names,0))</f>
        <v>12.158823529411764</v>
      </c>
      <c r="F226">
        <f>1+COUNTIFS(T_Total,"&gt;"&amp;D226,T_Pos,$B226)</f>
        <v>1</v>
      </c>
      <c r="G226">
        <f>1+COUNTIFS(T_Avg_PPG,"&gt;"&amp;E226,T_Pos,$B226)</f>
        <v>2</v>
      </c>
      <c r="H226">
        <f>_xlfn.IFNA(VLOOKUP($A226,PredictionTable,MATCH(H$1,Analysts,0),FALSE),60)</f>
        <v>12</v>
      </c>
      <c r="I226">
        <f>_xlfn.IFNA(VLOOKUP($A226,PredictionTable,MATCH(I$1,Analysts,0),FALSE),60)</f>
        <v>12</v>
      </c>
      <c r="J226">
        <f>_xlfn.IFNA(VLOOKUP($A226,PredictionTable,MATCH(J$1,Analysts,0),FALSE),60)</f>
        <v>12</v>
      </c>
      <c r="K226">
        <f>_xlfn.IFNA(VLOOKUP($A226,PredictionTable,MATCH(K$1,Analysts,0),FALSE),60)</f>
        <v>11</v>
      </c>
      <c r="L226">
        <f>_xlfn.IFNA(VLOOKUP($A226,PredictionTable,MATCH(L$1,Analysts,0),FALSE),60)</f>
        <v>13</v>
      </c>
      <c r="M226">
        <f>_xlfn.IFNA(VLOOKUP($A226,PredictionTable,MATCH(M$1,Analysts,0),FALSE),60)</f>
        <v>13</v>
      </c>
      <c r="N226">
        <f>_xlfn.IFNA(VLOOKUP($A226,PredictionTable,MATCH(N$1,Analysts,0),FALSE),60)</f>
        <v>12</v>
      </c>
      <c r="O226">
        <f>_xlfn.IFNA(VLOOKUP($A226,PredictionTable,MATCH(O$1,Analysts,0),FALSE),60)</f>
        <v>14</v>
      </c>
      <c r="P226">
        <f>_xlfn.IFNA(VLOOKUP($A226,PredictionTable,MATCH(P$1,Analysts,0),FALSE),60)</f>
        <v>12.4</v>
      </c>
      <c r="V226" s="7" t="s">
        <v>589</v>
      </c>
    </row>
    <row r="227" spans="1:22" x14ac:dyDescent="0.45">
      <c r="A227" s="1" t="s">
        <v>232</v>
      </c>
      <c r="B227" s="1" t="s">
        <v>228</v>
      </c>
      <c r="C227" s="1">
        <f>INDEX(T_Performances,MATCH($A227,T_Names,0))</f>
        <v>10</v>
      </c>
      <c r="D227">
        <v>161.30000000000001</v>
      </c>
      <c r="E227" s="1">
        <f>INDEX(T_Avg_PPG,MATCH($A227,T_Names,0))</f>
        <v>10.753333333333334</v>
      </c>
      <c r="F227">
        <f>1+COUNTIFS(T_Total,"&gt;"&amp;D227,T_Pos,$B227)</f>
        <v>5</v>
      </c>
      <c r="G227">
        <f>1+COUNTIFS(T_Avg_PPG,"&gt;"&amp;E227,T_Pos,$B227)</f>
        <v>6</v>
      </c>
      <c r="H227">
        <f>_xlfn.IFNA(VLOOKUP($A227,PredictionTable,MATCH(H$1,Analysts,0),FALSE),60)</f>
        <v>3</v>
      </c>
      <c r="I227">
        <f>_xlfn.IFNA(VLOOKUP($A227,PredictionTable,MATCH(I$1,Analysts,0),FALSE),60)</f>
        <v>3</v>
      </c>
      <c r="J227">
        <f>_xlfn.IFNA(VLOOKUP($A227,PredictionTable,MATCH(J$1,Analysts,0),FALSE),60)</f>
        <v>3</v>
      </c>
      <c r="K227">
        <f>_xlfn.IFNA(VLOOKUP($A227,PredictionTable,MATCH(K$1,Analysts,0),FALSE),60)</f>
        <v>3</v>
      </c>
      <c r="L227">
        <f>_xlfn.IFNA(VLOOKUP($A227,PredictionTable,MATCH(L$1,Analysts,0),FALSE),60)</f>
        <v>3</v>
      </c>
      <c r="M227">
        <f>_xlfn.IFNA(VLOOKUP($A227,PredictionTable,MATCH(M$1,Analysts,0),FALSE),60)</f>
        <v>3</v>
      </c>
      <c r="N227">
        <f>_xlfn.IFNA(VLOOKUP($A227,PredictionTable,MATCH(N$1,Analysts,0),FALSE),60)</f>
        <v>4</v>
      </c>
      <c r="O227">
        <f>_xlfn.IFNA(VLOOKUP($A227,PredictionTable,MATCH(O$1,Analysts,0),FALSE),60)</f>
        <v>3</v>
      </c>
      <c r="P227">
        <f>_xlfn.IFNA(VLOOKUP($A227,PredictionTable,MATCH(P$1,Analysts,0),FALSE),60)</f>
        <v>3.1</v>
      </c>
      <c r="V227" s="7" t="s">
        <v>589</v>
      </c>
    </row>
    <row r="228" spans="1:22" x14ac:dyDescent="0.45">
      <c r="A228" s="1" t="s">
        <v>233</v>
      </c>
      <c r="B228" s="1" t="s">
        <v>228</v>
      </c>
      <c r="C228" s="1">
        <f>INDEX(T_Performances,MATCH($A228,T_Names,0))</f>
        <v>8</v>
      </c>
      <c r="D228">
        <v>146.9</v>
      </c>
      <c r="E228" s="1">
        <f>INDEX(T_Avg_PPG,MATCH($A228,T_Names,0))</f>
        <v>9.1812500000000004</v>
      </c>
      <c r="F228">
        <f>1+COUNTIFS(T_Total,"&gt;"&amp;D228,T_Pos,$B228)</f>
        <v>6</v>
      </c>
      <c r="G228">
        <f>1+COUNTIFS(T_Avg_PPG,"&gt;"&amp;E228,T_Pos,$B228)</f>
        <v>9</v>
      </c>
      <c r="H228">
        <f>_xlfn.IFNA(VLOOKUP($A228,PredictionTable,MATCH(H$1,Analysts,0),FALSE),60)</f>
        <v>1</v>
      </c>
      <c r="I228">
        <f>_xlfn.IFNA(VLOOKUP($A228,PredictionTable,MATCH(I$1,Analysts,0),FALSE),60)</f>
        <v>2</v>
      </c>
      <c r="J228">
        <f>_xlfn.IFNA(VLOOKUP($A228,PredictionTable,MATCH(J$1,Analysts,0),FALSE),60)</f>
        <v>1</v>
      </c>
      <c r="K228">
        <f>_xlfn.IFNA(VLOOKUP($A228,PredictionTable,MATCH(K$1,Analysts,0),FALSE),60)</f>
        <v>2</v>
      </c>
      <c r="L228">
        <f>_xlfn.IFNA(VLOOKUP($A228,PredictionTable,MATCH(L$1,Analysts,0),FALSE),60)</f>
        <v>2</v>
      </c>
      <c r="M228">
        <f>_xlfn.IFNA(VLOOKUP($A228,PredictionTable,MATCH(M$1,Analysts,0),FALSE),60)</f>
        <v>2</v>
      </c>
      <c r="N228">
        <f>_xlfn.IFNA(VLOOKUP($A228,PredictionTable,MATCH(N$1,Analysts,0),FALSE),60)</f>
        <v>2</v>
      </c>
      <c r="O228">
        <f>_xlfn.IFNA(VLOOKUP($A228,PredictionTable,MATCH(O$1,Analysts,0),FALSE),60)</f>
        <v>1</v>
      </c>
      <c r="P228">
        <f>_xlfn.IFNA(VLOOKUP($A228,PredictionTable,MATCH(P$1,Analysts,0),FALSE),60)</f>
        <v>1.6</v>
      </c>
      <c r="V228" s="7" t="s">
        <v>589</v>
      </c>
    </row>
    <row r="229" spans="1:22" x14ac:dyDescent="0.45">
      <c r="A229" s="1" t="s">
        <v>234</v>
      </c>
      <c r="B229" s="1" t="s">
        <v>228</v>
      </c>
      <c r="C229" s="1">
        <f>INDEX(T_Performances,MATCH($A229,T_Names,0))</f>
        <v>9</v>
      </c>
      <c r="D229">
        <v>144.4</v>
      </c>
      <c r="E229" s="1">
        <f>INDEX(T_Avg_PPG,MATCH($A229,T_Names,0))</f>
        <v>9.0250000000000004</v>
      </c>
      <c r="F229">
        <f>1+COUNTIFS(T_Total,"&gt;"&amp;D229,T_Pos,$B229)</f>
        <v>8</v>
      </c>
      <c r="G229">
        <f>1+COUNTIFS(T_Avg_PPG,"&gt;"&amp;E229,T_Pos,$B229)</f>
        <v>12</v>
      </c>
      <c r="H229">
        <f>_xlfn.IFNA(VLOOKUP($A229,PredictionTable,MATCH(H$1,Analysts,0),FALSE),60)</f>
        <v>60</v>
      </c>
      <c r="I229">
        <f>_xlfn.IFNA(VLOOKUP($A229,PredictionTable,MATCH(I$1,Analysts,0),FALSE),60)</f>
        <v>60</v>
      </c>
      <c r="J229">
        <f>_xlfn.IFNA(VLOOKUP($A229,PredictionTable,MATCH(J$1,Analysts,0),FALSE),60)</f>
        <v>60</v>
      </c>
      <c r="K229">
        <f>_xlfn.IFNA(VLOOKUP($A229,PredictionTable,MATCH(K$1,Analysts,0),FALSE),60)</f>
        <v>60</v>
      </c>
      <c r="L229">
        <f>_xlfn.IFNA(VLOOKUP($A229,PredictionTable,MATCH(L$1,Analysts,0),FALSE),60)</f>
        <v>60</v>
      </c>
      <c r="M229">
        <f>_xlfn.IFNA(VLOOKUP($A229,PredictionTable,MATCH(M$1,Analysts,0),FALSE),60)</f>
        <v>60</v>
      </c>
      <c r="N229">
        <f>_xlfn.IFNA(VLOOKUP($A229,PredictionTable,MATCH(N$1,Analysts,0),FALSE),60)</f>
        <v>60</v>
      </c>
      <c r="O229">
        <f>_xlfn.IFNA(VLOOKUP($A229,PredictionTable,MATCH(O$1,Analysts,0),FALSE),60)</f>
        <v>60</v>
      </c>
      <c r="P229">
        <f>_xlfn.IFNA(VLOOKUP($A229,PredictionTable,MATCH(P$1,Analysts,0),FALSE),60)</f>
        <v>60</v>
      </c>
      <c r="V229" s="7" t="s">
        <v>589</v>
      </c>
    </row>
    <row r="230" spans="1:22" x14ac:dyDescent="0.45">
      <c r="A230" s="1" t="s">
        <v>235</v>
      </c>
      <c r="B230" s="1" t="s">
        <v>228</v>
      </c>
      <c r="C230" s="1">
        <f>INDEX(T_Performances,MATCH($A230,T_Names,0))</f>
        <v>7</v>
      </c>
      <c r="D230">
        <v>138.30000000000001</v>
      </c>
      <c r="E230" s="1">
        <f>INDEX(T_Avg_PPG,MATCH($A230,T_Names,0))</f>
        <v>8.6437500000000007</v>
      </c>
      <c r="F230">
        <f>1+COUNTIFS(T_Total,"&gt;"&amp;D230,T_Pos,$B230)</f>
        <v>9</v>
      </c>
      <c r="G230">
        <f>1+COUNTIFS(T_Avg_PPG,"&gt;"&amp;E230,T_Pos,$B230)</f>
        <v>13</v>
      </c>
      <c r="H230">
        <f>_xlfn.IFNA(VLOOKUP($A230,PredictionTable,MATCH(H$1,Analysts,0),FALSE),60)</f>
        <v>24</v>
      </c>
      <c r="I230">
        <f>_xlfn.IFNA(VLOOKUP($A230,PredictionTable,MATCH(I$1,Analysts,0),FALSE),60)</f>
        <v>22</v>
      </c>
      <c r="J230">
        <f>_xlfn.IFNA(VLOOKUP($A230,PredictionTable,MATCH(J$1,Analysts,0),FALSE),60)</f>
        <v>25</v>
      </c>
      <c r="K230">
        <f>_xlfn.IFNA(VLOOKUP($A230,PredictionTable,MATCH(K$1,Analysts,0),FALSE),60)</f>
        <v>25</v>
      </c>
      <c r="L230" t="str">
        <f>_xlfn.IFNA(VLOOKUP($A230,PredictionTable,MATCH(L$1,Analysts,0),FALSE),60)</f>
        <v>NR</v>
      </c>
      <c r="M230" t="str">
        <f>_xlfn.IFNA(VLOOKUP($A230,PredictionTable,MATCH(M$1,Analysts,0),FALSE),60)</f>
        <v>NR</v>
      </c>
      <c r="N230">
        <f>_xlfn.IFNA(VLOOKUP($A230,PredictionTable,MATCH(N$1,Analysts,0),FALSE),60)</f>
        <v>21</v>
      </c>
      <c r="O230" t="str">
        <f>_xlfn.IFNA(VLOOKUP($A230,PredictionTable,MATCH(O$1,Analysts,0),FALSE),60)</f>
        <v>NR</v>
      </c>
      <c r="P230">
        <f>_xlfn.IFNA(VLOOKUP($A230,PredictionTable,MATCH(P$1,Analysts,0),FALSE),60)</f>
        <v>24.4</v>
      </c>
      <c r="V230" s="7" t="s">
        <v>589</v>
      </c>
    </row>
    <row r="231" spans="1:22" x14ac:dyDescent="0.45">
      <c r="A231" s="1" t="s">
        <v>236</v>
      </c>
      <c r="B231" s="1" t="s">
        <v>228</v>
      </c>
      <c r="C231" s="1">
        <f>INDEX(T_Performances,MATCH($A231,T_Names,0))</f>
        <v>6</v>
      </c>
      <c r="D231">
        <v>135.80000000000001</v>
      </c>
      <c r="E231" s="1">
        <f>INDEX(T_Avg_PPG,MATCH($A231,T_Names,0))</f>
        <v>7.988235294117648</v>
      </c>
      <c r="F231">
        <f>1+COUNTIFS(T_Total,"&gt;"&amp;D231,T_Pos,$B231)</f>
        <v>10</v>
      </c>
      <c r="G231">
        <f>1+COUNTIFS(T_Avg_PPG,"&gt;"&amp;E231,T_Pos,$B231)</f>
        <v>16</v>
      </c>
      <c r="H231">
        <f>_xlfn.IFNA(VLOOKUP($A231,PredictionTable,MATCH(H$1,Analysts,0),FALSE),60)</f>
        <v>14</v>
      </c>
      <c r="I231">
        <f>_xlfn.IFNA(VLOOKUP($A231,PredictionTable,MATCH(I$1,Analysts,0),FALSE),60)</f>
        <v>14</v>
      </c>
      <c r="J231">
        <f>_xlfn.IFNA(VLOOKUP($A231,PredictionTable,MATCH(J$1,Analysts,0),FALSE),60)</f>
        <v>14</v>
      </c>
      <c r="K231">
        <f>_xlfn.IFNA(VLOOKUP($A231,PredictionTable,MATCH(K$1,Analysts,0),FALSE),60)</f>
        <v>14</v>
      </c>
      <c r="L231">
        <f>_xlfn.IFNA(VLOOKUP($A231,PredictionTable,MATCH(L$1,Analysts,0),FALSE),60)</f>
        <v>15</v>
      </c>
      <c r="M231">
        <f>_xlfn.IFNA(VLOOKUP($A231,PredictionTable,MATCH(M$1,Analysts,0),FALSE),60)</f>
        <v>14</v>
      </c>
      <c r="N231">
        <f>_xlfn.IFNA(VLOOKUP($A231,PredictionTable,MATCH(N$1,Analysts,0),FALSE),60)</f>
        <v>14</v>
      </c>
      <c r="O231">
        <f>_xlfn.IFNA(VLOOKUP($A231,PredictionTable,MATCH(O$1,Analysts,0),FALSE),60)</f>
        <v>13</v>
      </c>
      <c r="P231">
        <f>_xlfn.IFNA(VLOOKUP($A231,PredictionTable,MATCH(P$1,Analysts,0),FALSE),60)</f>
        <v>14</v>
      </c>
      <c r="V231" s="7" t="s">
        <v>589</v>
      </c>
    </row>
    <row r="232" spans="1:22" x14ac:dyDescent="0.45">
      <c r="A232" s="1" t="s">
        <v>237</v>
      </c>
      <c r="B232" s="1" t="s">
        <v>228</v>
      </c>
      <c r="C232" s="1">
        <f>INDEX(T_Performances,MATCH($A232,T_Names,0))</f>
        <v>6</v>
      </c>
      <c r="D232">
        <v>116.5</v>
      </c>
      <c r="E232" s="1">
        <f>INDEX(T_Avg_PPG,MATCH($A232,T_Names,0))</f>
        <v>10.590909090909092</v>
      </c>
      <c r="F232">
        <f>1+COUNTIFS(T_Total,"&gt;"&amp;D232,T_Pos,$B232)</f>
        <v>11</v>
      </c>
      <c r="G232">
        <f>1+COUNTIFS(T_Avg_PPG,"&gt;"&amp;E232,T_Pos,$B232)</f>
        <v>7</v>
      </c>
      <c r="H232">
        <f>_xlfn.IFNA(VLOOKUP($A232,PredictionTable,MATCH(H$1,Analysts,0),FALSE),60)</f>
        <v>8</v>
      </c>
      <c r="I232">
        <f>_xlfn.IFNA(VLOOKUP($A232,PredictionTable,MATCH(I$1,Analysts,0),FALSE),60)</f>
        <v>9</v>
      </c>
      <c r="J232">
        <f>_xlfn.IFNA(VLOOKUP($A232,PredictionTable,MATCH(J$1,Analysts,0),FALSE),60)</f>
        <v>9</v>
      </c>
      <c r="K232">
        <f>_xlfn.IFNA(VLOOKUP($A232,PredictionTable,MATCH(K$1,Analysts,0),FALSE),60)</f>
        <v>9</v>
      </c>
      <c r="L232">
        <f>_xlfn.IFNA(VLOOKUP($A232,PredictionTable,MATCH(L$1,Analysts,0),FALSE),60)</f>
        <v>7</v>
      </c>
      <c r="M232">
        <f>_xlfn.IFNA(VLOOKUP($A232,PredictionTable,MATCH(M$1,Analysts,0),FALSE),60)</f>
        <v>8</v>
      </c>
      <c r="N232">
        <f>_xlfn.IFNA(VLOOKUP($A232,PredictionTable,MATCH(N$1,Analysts,0),FALSE),60)</f>
        <v>10</v>
      </c>
      <c r="O232">
        <f>_xlfn.IFNA(VLOOKUP($A232,PredictionTable,MATCH(O$1,Analysts,0),FALSE),60)</f>
        <v>7</v>
      </c>
      <c r="P232">
        <f>_xlfn.IFNA(VLOOKUP($A232,PredictionTable,MATCH(P$1,Analysts,0),FALSE),60)</f>
        <v>8.4</v>
      </c>
      <c r="V232" s="7" t="s">
        <v>589</v>
      </c>
    </row>
    <row r="233" spans="1:22" x14ac:dyDescent="0.45">
      <c r="A233" s="1" t="s">
        <v>238</v>
      </c>
      <c r="B233" s="1" t="s">
        <v>228</v>
      </c>
      <c r="C233" s="1">
        <f>INDEX(T_Performances,MATCH($A233,T_Names,0))</f>
        <v>6</v>
      </c>
      <c r="D233">
        <v>111.1</v>
      </c>
      <c r="E233" s="1">
        <f>INDEX(T_Avg_PPG,MATCH($A233,T_Names,0))</f>
        <v>9.2583333333333329</v>
      </c>
      <c r="F233">
        <f>1+COUNTIFS(T_Total,"&gt;"&amp;D233,T_Pos,$B233)</f>
        <v>13</v>
      </c>
      <c r="G233">
        <f>1+COUNTIFS(T_Avg_PPG,"&gt;"&amp;E233,T_Pos,$B233)</f>
        <v>8</v>
      </c>
      <c r="H233">
        <f>_xlfn.IFNA(VLOOKUP($A233,PredictionTable,MATCH(H$1,Analysts,0),FALSE),60)</f>
        <v>19</v>
      </c>
      <c r="I233">
        <f>_xlfn.IFNA(VLOOKUP($A233,PredictionTable,MATCH(I$1,Analysts,0),FALSE),60)</f>
        <v>25</v>
      </c>
      <c r="J233">
        <f>_xlfn.IFNA(VLOOKUP($A233,PredictionTable,MATCH(J$1,Analysts,0),FALSE),60)</f>
        <v>20</v>
      </c>
      <c r="K233">
        <f>_xlfn.IFNA(VLOOKUP($A233,PredictionTable,MATCH(K$1,Analysts,0),FALSE),60)</f>
        <v>23</v>
      </c>
      <c r="L233">
        <f>_xlfn.IFNA(VLOOKUP($A233,PredictionTable,MATCH(L$1,Analysts,0),FALSE),60)</f>
        <v>20</v>
      </c>
      <c r="M233">
        <f>_xlfn.IFNA(VLOOKUP($A233,PredictionTable,MATCH(M$1,Analysts,0),FALSE),60)</f>
        <v>24</v>
      </c>
      <c r="N233">
        <f>_xlfn.IFNA(VLOOKUP($A233,PredictionTable,MATCH(N$1,Analysts,0),FALSE),60)</f>
        <v>18</v>
      </c>
      <c r="O233">
        <f>_xlfn.IFNA(VLOOKUP($A233,PredictionTable,MATCH(O$1,Analysts,0),FALSE),60)</f>
        <v>23</v>
      </c>
      <c r="P233">
        <f>_xlfn.IFNA(VLOOKUP($A233,PredictionTable,MATCH(P$1,Analysts,0),FALSE),60)</f>
        <v>21.5</v>
      </c>
      <c r="V233" s="7" t="s">
        <v>589</v>
      </c>
    </row>
    <row r="234" spans="1:22" x14ac:dyDescent="0.45">
      <c r="A234" s="1" t="s">
        <v>239</v>
      </c>
      <c r="B234" s="1" t="s">
        <v>228</v>
      </c>
      <c r="C234" s="1">
        <f>INDEX(T_Performances,MATCH($A234,T_Names,0))</f>
        <v>3</v>
      </c>
      <c r="D234">
        <v>96.9</v>
      </c>
      <c r="E234" s="1">
        <f>INDEX(T_Avg_PPG,MATCH($A234,T_Names,0))</f>
        <v>7.453846153846154</v>
      </c>
      <c r="F234">
        <f>1+COUNTIFS(T_Total,"&gt;"&amp;D234,T_Pos,$B234)</f>
        <v>18</v>
      </c>
      <c r="G234">
        <f>1+COUNTIFS(T_Avg_PPG,"&gt;"&amp;E234,T_Pos,$B234)</f>
        <v>21</v>
      </c>
      <c r="H234">
        <f>_xlfn.IFNA(VLOOKUP($A234,PredictionTable,MATCH(H$1,Analysts,0),FALSE),60)</f>
        <v>15</v>
      </c>
      <c r="I234">
        <f>_xlfn.IFNA(VLOOKUP($A234,PredictionTable,MATCH(I$1,Analysts,0),FALSE),60)</f>
        <v>15</v>
      </c>
      <c r="J234">
        <f>_xlfn.IFNA(VLOOKUP($A234,PredictionTable,MATCH(J$1,Analysts,0),FALSE),60)</f>
        <v>16</v>
      </c>
      <c r="K234">
        <f>_xlfn.IFNA(VLOOKUP($A234,PredictionTable,MATCH(K$1,Analysts,0),FALSE),60)</f>
        <v>16</v>
      </c>
      <c r="L234">
        <f>_xlfn.IFNA(VLOOKUP($A234,PredictionTable,MATCH(L$1,Analysts,0),FALSE),60)</f>
        <v>16</v>
      </c>
      <c r="M234">
        <f>_xlfn.IFNA(VLOOKUP($A234,PredictionTable,MATCH(M$1,Analysts,0),FALSE),60)</f>
        <v>16</v>
      </c>
      <c r="N234">
        <f>_xlfn.IFNA(VLOOKUP($A234,PredictionTable,MATCH(N$1,Analysts,0),FALSE),60)</f>
        <v>15</v>
      </c>
      <c r="O234">
        <f>_xlfn.IFNA(VLOOKUP($A234,PredictionTable,MATCH(O$1,Analysts,0),FALSE),60)</f>
        <v>15</v>
      </c>
      <c r="P234">
        <f>_xlfn.IFNA(VLOOKUP($A234,PredictionTable,MATCH(P$1,Analysts,0),FALSE),60)</f>
        <v>15.5</v>
      </c>
      <c r="V234" s="7" t="s">
        <v>589</v>
      </c>
    </row>
    <row r="235" spans="1:22" x14ac:dyDescent="0.45">
      <c r="A235" s="1" t="s">
        <v>240</v>
      </c>
      <c r="B235" s="1" t="s">
        <v>228</v>
      </c>
      <c r="C235" s="1">
        <f>INDEX(T_Performances,MATCH($A235,T_Names,0))</f>
        <v>4</v>
      </c>
      <c r="D235">
        <v>93.3</v>
      </c>
      <c r="E235" s="1">
        <f>INDEX(T_Avg_PPG,MATCH($A235,T_Names,0))</f>
        <v>6.6642857142857137</v>
      </c>
      <c r="F235">
        <f>1+COUNTIFS(T_Total,"&gt;"&amp;D235,T_Pos,$B235)</f>
        <v>20</v>
      </c>
      <c r="G235">
        <f>1+COUNTIFS(T_Avg_PPG,"&gt;"&amp;E235,T_Pos,$B235)</f>
        <v>27</v>
      </c>
      <c r="H235">
        <f>_xlfn.IFNA(VLOOKUP($A235,PredictionTable,MATCH(H$1,Analysts,0),FALSE),60)</f>
        <v>60</v>
      </c>
      <c r="I235">
        <f>_xlfn.IFNA(VLOOKUP($A235,PredictionTable,MATCH(I$1,Analysts,0),FALSE),60)</f>
        <v>60</v>
      </c>
      <c r="J235">
        <f>_xlfn.IFNA(VLOOKUP($A235,PredictionTable,MATCH(J$1,Analysts,0),FALSE),60)</f>
        <v>60</v>
      </c>
      <c r="K235">
        <f>_xlfn.IFNA(VLOOKUP($A235,PredictionTable,MATCH(K$1,Analysts,0),FALSE),60)</f>
        <v>60</v>
      </c>
      <c r="L235">
        <f>_xlfn.IFNA(VLOOKUP($A235,PredictionTable,MATCH(L$1,Analysts,0),FALSE),60)</f>
        <v>60</v>
      </c>
      <c r="M235">
        <f>_xlfn.IFNA(VLOOKUP($A235,PredictionTable,MATCH(M$1,Analysts,0),FALSE),60)</f>
        <v>60</v>
      </c>
      <c r="N235">
        <f>_xlfn.IFNA(VLOOKUP($A235,PredictionTable,MATCH(N$1,Analysts,0),FALSE),60)</f>
        <v>60</v>
      </c>
      <c r="O235">
        <f>_xlfn.IFNA(VLOOKUP($A235,PredictionTable,MATCH(O$1,Analysts,0),FALSE),60)</f>
        <v>60</v>
      </c>
      <c r="P235">
        <f>_xlfn.IFNA(VLOOKUP($A235,PredictionTable,MATCH(P$1,Analysts,0),FALSE),60)</f>
        <v>60</v>
      </c>
      <c r="V235" s="7" t="s">
        <v>589</v>
      </c>
    </row>
    <row r="236" spans="1:22" x14ac:dyDescent="0.45">
      <c r="A236" s="1" t="s">
        <v>241</v>
      </c>
      <c r="B236" s="1" t="s">
        <v>228</v>
      </c>
      <c r="C236" s="1">
        <f>INDEX(T_Performances,MATCH($A236,T_Names,0))</f>
        <v>8</v>
      </c>
      <c r="D236">
        <v>144.6</v>
      </c>
      <c r="E236" s="1">
        <f>INDEX(T_Avg_PPG,MATCH($A236,T_Names,0))</f>
        <v>9.0374999999999996</v>
      </c>
      <c r="F236">
        <f>1+COUNTIFS(T_Total,"&gt;"&amp;D236,T_Pos,$B236)</f>
        <v>7</v>
      </c>
      <c r="G236">
        <f>1+COUNTIFS(T_Avg_PPG,"&gt;"&amp;E236,T_Pos,$B236)</f>
        <v>11</v>
      </c>
      <c r="H236">
        <f>_xlfn.IFNA(VLOOKUP($A236,PredictionTable,MATCH(H$1,Analysts,0),FALSE),60)</f>
        <v>2</v>
      </c>
      <c r="I236">
        <f>_xlfn.IFNA(VLOOKUP($A236,PredictionTable,MATCH(I$1,Analysts,0),FALSE),60)</f>
        <v>1</v>
      </c>
      <c r="J236">
        <f>_xlfn.IFNA(VLOOKUP($A236,PredictionTable,MATCH(J$1,Analysts,0),FALSE),60)</f>
        <v>2</v>
      </c>
      <c r="K236">
        <f>_xlfn.IFNA(VLOOKUP($A236,PredictionTable,MATCH(K$1,Analysts,0),FALSE),60)</f>
        <v>1</v>
      </c>
      <c r="L236">
        <f>_xlfn.IFNA(VLOOKUP($A236,PredictionTable,MATCH(L$1,Analysts,0),FALSE),60)</f>
        <v>1</v>
      </c>
      <c r="M236">
        <f>_xlfn.IFNA(VLOOKUP($A236,PredictionTable,MATCH(M$1,Analysts,0),FALSE),60)</f>
        <v>1</v>
      </c>
      <c r="N236">
        <f>_xlfn.IFNA(VLOOKUP($A236,PredictionTable,MATCH(N$1,Analysts,0),FALSE),60)</f>
        <v>1</v>
      </c>
      <c r="O236">
        <f>_xlfn.IFNA(VLOOKUP($A236,PredictionTable,MATCH(O$1,Analysts,0),FALSE),60)</f>
        <v>2</v>
      </c>
      <c r="P236">
        <f>_xlfn.IFNA(VLOOKUP($A236,PredictionTable,MATCH(P$1,Analysts,0),FALSE),60)</f>
        <v>1.4</v>
      </c>
      <c r="V236" s="7" t="s">
        <v>589</v>
      </c>
    </row>
    <row r="237" spans="1:22" x14ac:dyDescent="0.45">
      <c r="A237" s="1" t="s">
        <v>242</v>
      </c>
      <c r="B237" s="1" t="s">
        <v>228</v>
      </c>
      <c r="C237" s="1">
        <f>INDEX(T_Performances,MATCH($A237,T_Names,0))</f>
        <v>5</v>
      </c>
      <c r="D237">
        <v>109</v>
      </c>
      <c r="E237" s="1">
        <f>INDEX(T_Avg_PPG,MATCH($A237,T_Names,0))</f>
        <v>8.384615384615385</v>
      </c>
      <c r="F237">
        <f>1+COUNTIFS(T_Total,"&gt;"&amp;D237,T_Pos,$B237)</f>
        <v>14</v>
      </c>
      <c r="G237">
        <f>1+COUNTIFS(T_Avg_PPG,"&gt;"&amp;E237,T_Pos,$B237)</f>
        <v>14</v>
      </c>
      <c r="H237">
        <f>_xlfn.IFNA(VLOOKUP($A237,PredictionTable,MATCH(H$1,Analysts,0),FALSE),60)</f>
        <v>60</v>
      </c>
      <c r="I237">
        <f>_xlfn.IFNA(VLOOKUP($A237,PredictionTable,MATCH(I$1,Analysts,0),FALSE),60)</f>
        <v>60</v>
      </c>
      <c r="J237">
        <f>_xlfn.IFNA(VLOOKUP($A237,PredictionTable,MATCH(J$1,Analysts,0),FALSE),60)</f>
        <v>60</v>
      </c>
      <c r="K237">
        <f>_xlfn.IFNA(VLOOKUP($A237,PredictionTable,MATCH(K$1,Analysts,0),FALSE),60)</f>
        <v>60</v>
      </c>
      <c r="L237">
        <f>_xlfn.IFNA(VLOOKUP($A237,PredictionTable,MATCH(L$1,Analysts,0),FALSE),60)</f>
        <v>60</v>
      </c>
      <c r="M237">
        <f>_xlfn.IFNA(VLOOKUP($A237,PredictionTable,MATCH(M$1,Analysts,0),FALSE),60)</f>
        <v>60</v>
      </c>
      <c r="N237">
        <f>_xlfn.IFNA(VLOOKUP($A237,PredictionTable,MATCH(N$1,Analysts,0),FALSE),60)</f>
        <v>60</v>
      </c>
      <c r="O237">
        <f>_xlfn.IFNA(VLOOKUP($A237,PredictionTable,MATCH(O$1,Analysts,0),FALSE),60)</f>
        <v>60</v>
      </c>
      <c r="P237">
        <f>_xlfn.IFNA(VLOOKUP($A237,PredictionTable,MATCH(P$1,Analysts,0),FALSE),60)</f>
        <v>60</v>
      </c>
      <c r="V237" s="7" t="s">
        <v>589</v>
      </c>
    </row>
    <row r="238" spans="1:22" x14ac:dyDescent="0.45">
      <c r="A238" s="1" t="s">
        <v>243</v>
      </c>
      <c r="B238" s="1" t="s">
        <v>228</v>
      </c>
      <c r="C238" s="1">
        <f>INDEX(T_Performances,MATCH($A238,T_Names,0))</f>
        <v>6</v>
      </c>
      <c r="D238">
        <v>107.7</v>
      </c>
      <c r="E238" s="1">
        <f>INDEX(T_Avg_PPG,MATCH($A238,T_Names,0))</f>
        <v>7.1800000000000006</v>
      </c>
      <c r="F238">
        <f>1+COUNTIFS(T_Total,"&gt;"&amp;D238,T_Pos,$B238)</f>
        <v>15</v>
      </c>
      <c r="G238">
        <f>1+COUNTIFS(T_Avg_PPG,"&gt;"&amp;E238,T_Pos,$B238)</f>
        <v>24</v>
      </c>
      <c r="H238">
        <f>_xlfn.IFNA(VLOOKUP($A238,PredictionTable,MATCH(H$1,Analysts,0),FALSE),60)</f>
        <v>10</v>
      </c>
      <c r="I238">
        <f>_xlfn.IFNA(VLOOKUP($A238,PredictionTable,MATCH(I$1,Analysts,0),FALSE),60)</f>
        <v>8</v>
      </c>
      <c r="J238">
        <f>_xlfn.IFNA(VLOOKUP($A238,PredictionTable,MATCH(J$1,Analysts,0),FALSE),60)</f>
        <v>8</v>
      </c>
      <c r="K238">
        <f>_xlfn.IFNA(VLOOKUP($A238,PredictionTable,MATCH(K$1,Analysts,0),FALSE),60)</f>
        <v>8</v>
      </c>
      <c r="L238">
        <f>_xlfn.IFNA(VLOOKUP($A238,PredictionTable,MATCH(L$1,Analysts,0),FALSE),60)</f>
        <v>10</v>
      </c>
      <c r="M238">
        <f>_xlfn.IFNA(VLOOKUP($A238,PredictionTable,MATCH(M$1,Analysts,0),FALSE),60)</f>
        <v>9</v>
      </c>
      <c r="N238">
        <f>_xlfn.IFNA(VLOOKUP($A238,PredictionTable,MATCH(N$1,Analysts,0),FALSE),60)</f>
        <v>8</v>
      </c>
      <c r="O238">
        <f>_xlfn.IFNA(VLOOKUP($A238,PredictionTable,MATCH(O$1,Analysts,0),FALSE),60)</f>
        <v>12</v>
      </c>
      <c r="P238">
        <f>_xlfn.IFNA(VLOOKUP($A238,PredictionTable,MATCH(P$1,Analysts,0),FALSE),60)</f>
        <v>9.1</v>
      </c>
      <c r="V238" s="7" t="s">
        <v>589</v>
      </c>
    </row>
    <row r="239" spans="1:22" x14ac:dyDescent="0.45">
      <c r="A239" s="1" t="s">
        <v>244</v>
      </c>
      <c r="B239" s="1" t="s">
        <v>228</v>
      </c>
      <c r="C239" s="1">
        <f>INDEX(T_Performances,MATCH($A239,T_Names,0))</f>
        <v>4</v>
      </c>
      <c r="D239">
        <v>102.7</v>
      </c>
      <c r="E239" s="1">
        <f>INDEX(T_Avg_PPG,MATCH($A239,T_Names,0))</f>
        <v>7.9</v>
      </c>
      <c r="F239">
        <f>1+COUNTIFS(T_Total,"&gt;"&amp;D239,T_Pos,$B239)</f>
        <v>16</v>
      </c>
      <c r="G239">
        <f>1+COUNTIFS(T_Avg_PPG,"&gt;"&amp;E239,T_Pos,$B239)</f>
        <v>17</v>
      </c>
      <c r="H239">
        <f>_xlfn.IFNA(VLOOKUP($A239,PredictionTable,MATCH(H$1,Analysts,0),FALSE),60)</f>
        <v>60</v>
      </c>
      <c r="I239">
        <f>_xlfn.IFNA(VLOOKUP($A239,PredictionTable,MATCH(I$1,Analysts,0),FALSE),60)</f>
        <v>60</v>
      </c>
      <c r="J239">
        <f>_xlfn.IFNA(VLOOKUP($A239,PredictionTable,MATCH(J$1,Analysts,0),FALSE),60)</f>
        <v>60</v>
      </c>
      <c r="K239">
        <f>_xlfn.IFNA(VLOOKUP($A239,PredictionTable,MATCH(K$1,Analysts,0),FALSE),60)</f>
        <v>60</v>
      </c>
      <c r="L239">
        <f>_xlfn.IFNA(VLOOKUP($A239,PredictionTable,MATCH(L$1,Analysts,0),FALSE),60)</f>
        <v>60</v>
      </c>
      <c r="M239">
        <f>_xlfn.IFNA(VLOOKUP($A239,PredictionTable,MATCH(M$1,Analysts,0),FALSE),60)</f>
        <v>60</v>
      </c>
      <c r="N239">
        <f>_xlfn.IFNA(VLOOKUP($A239,PredictionTable,MATCH(N$1,Analysts,0),FALSE),60)</f>
        <v>60</v>
      </c>
      <c r="O239">
        <f>_xlfn.IFNA(VLOOKUP($A239,PredictionTable,MATCH(O$1,Analysts,0),FALSE),60)</f>
        <v>60</v>
      </c>
      <c r="P239">
        <f>_xlfn.IFNA(VLOOKUP($A239,PredictionTable,MATCH(P$1,Analysts,0),FALSE),60)</f>
        <v>60</v>
      </c>
      <c r="V239" s="7" t="s">
        <v>589</v>
      </c>
    </row>
    <row r="240" spans="1:22" x14ac:dyDescent="0.45">
      <c r="A240" s="1" t="s">
        <v>245</v>
      </c>
      <c r="B240" s="1" t="s">
        <v>228</v>
      </c>
      <c r="C240" s="1">
        <f>INDEX(T_Performances,MATCH($A240,T_Names,0))</f>
        <v>7</v>
      </c>
      <c r="D240">
        <v>96.4</v>
      </c>
      <c r="E240" s="1">
        <f>INDEX(T_Avg_PPG,MATCH($A240,T_Names,0))</f>
        <v>6.4266666666666667</v>
      </c>
      <c r="F240">
        <f>1+COUNTIFS(T_Total,"&gt;"&amp;D240,T_Pos,$B240)</f>
        <v>19</v>
      </c>
      <c r="G240">
        <f>1+COUNTIFS(T_Avg_PPG,"&gt;"&amp;E240,T_Pos,$B240)</f>
        <v>30</v>
      </c>
      <c r="H240">
        <f>_xlfn.IFNA(VLOOKUP($A240,PredictionTable,MATCH(H$1,Analysts,0),FALSE),60)</f>
        <v>17</v>
      </c>
      <c r="I240">
        <f>_xlfn.IFNA(VLOOKUP($A240,PredictionTable,MATCH(I$1,Analysts,0),FALSE),60)</f>
        <v>17</v>
      </c>
      <c r="J240">
        <f>_xlfn.IFNA(VLOOKUP($A240,PredictionTable,MATCH(J$1,Analysts,0),FALSE),60)</f>
        <v>17</v>
      </c>
      <c r="K240">
        <f>_xlfn.IFNA(VLOOKUP($A240,PredictionTable,MATCH(K$1,Analysts,0),FALSE),60)</f>
        <v>17</v>
      </c>
      <c r="L240">
        <f>_xlfn.IFNA(VLOOKUP($A240,PredictionTable,MATCH(L$1,Analysts,0),FALSE),60)</f>
        <v>17</v>
      </c>
      <c r="M240">
        <f>_xlfn.IFNA(VLOOKUP($A240,PredictionTable,MATCH(M$1,Analysts,0),FALSE),60)</f>
        <v>17</v>
      </c>
      <c r="N240">
        <f>_xlfn.IFNA(VLOOKUP($A240,PredictionTable,MATCH(N$1,Analysts,0),FALSE),60)</f>
        <v>22</v>
      </c>
      <c r="O240">
        <f>_xlfn.IFNA(VLOOKUP($A240,PredictionTable,MATCH(O$1,Analysts,0),FALSE),60)</f>
        <v>17</v>
      </c>
      <c r="P240">
        <f>_xlfn.IFNA(VLOOKUP($A240,PredictionTable,MATCH(P$1,Analysts,0),FALSE),60)</f>
        <v>17.600000000000001</v>
      </c>
      <c r="V240" s="7" t="s">
        <v>589</v>
      </c>
    </row>
    <row r="241" spans="1:22" x14ac:dyDescent="0.45">
      <c r="A241" s="1" t="s">
        <v>246</v>
      </c>
      <c r="B241" s="1" t="s">
        <v>228</v>
      </c>
      <c r="C241" s="1">
        <f>INDEX(T_Performances,MATCH($A241,T_Names,0))</f>
        <v>3</v>
      </c>
      <c r="D241">
        <v>90.84</v>
      </c>
      <c r="E241" s="1">
        <f>INDEX(T_Avg_PPG,MATCH($A241,T_Names,0))</f>
        <v>11.355</v>
      </c>
      <c r="F241">
        <f>1+COUNTIFS(T_Total,"&gt;"&amp;D241,T_Pos,$B241)</f>
        <v>22</v>
      </c>
      <c r="G241">
        <f>1+COUNTIFS(T_Avg_PPG,"&gt;"&amp;E241,T_Pos,$B241)</f>
        <v>4</v>
      </c>
      <c r="H241">
        <f>_xlfn.IFNA(VLOOKUP($A241,PredictionTable,MATCH(H$1,Analysts,0),FALSE),60)</f>
        <v>18</v>
      </c>
      <c r="I241">
        <f>_xlfn.IFNA(VLOOKUP($A241,PredictionTable,MATCH(I$1,Analysts,0),FALSE),60)</f>
        <v>18</v>
      </c>
      <c r="J241">
        <f>_xlfn.IFNA(VLOOKUP($A241,PredictionTable,MATCH(J$1,Analysts,0),FALSE),60)</f>
        <v>18</v>
      </c>
      <c r="K241">
        <f>_xlfn.IFNA(VLOOKUP($A241,PredictionTable,MATCH(K$1,Analysts,0),FALSE),60)</f>
        <v>18</v>
      </c>
      <c r="L241">
        <f>_xlfn.IFNA(VLOOKUP($A241,PredictionTable,MATCH(L$1,Analysts,0),FALSE),60)</f>
        <v>18</v>
      </c>
      <c r="M241">
        <f>_xlfn.IFNA(VLOOKUP($A241,PredictionTable,MATCH(M$1,Analysts,0),FALSE),60)</f>
        <v>18</v>
      </c>
      <c r="N241">
        <f>_xlfn.IFNA(VLOOKUP($A241,PredictionTable,MATCH(N$1,Analysts,0),FALSE),60)</f>
        <v>24</v>
      </c>
      <c r="O241">
        <f>_xlfn.IFNA(VLOOKUP($A241,PredictionTable,MATCH(O$1,Analysts,0),FALSE),60)</f>
        <v>19</v>
      </c>
      <c r="P241">
        <f>_xlfn.IFNA(VLOOKUP($A241,PredictionTable,MATCH(P$1,Analysts,0),FALSE),60)</f>
        <v>18.899999999999999</v>
      </c>
      <c r="V241" s="7" t="s">
        <v>589</v>
      </c>
    </row>
    <row r="242" spans="1:22" x14ac:dyDescent="0.45">
      <c r="A242" s="1" t="s">
        <v>247</v>
      </c>
      <c r="B242" s="1" t="s">
        <v>228</v>
      </c>
      <c r="C242" s="1">
        <f>INDEX(T_Performances,MATCH($A242,T_Names,0))</f>
        <v>3</v>
      </c>
      <c r="D242">
        <v>85.1</v>
      </c>
      <c r="E242" s="1">
        <f>INDEX(T_Avg_PPG,MATCH($A242,T_Names,0))</f>
        <v>6.0785714285714283</v>
      </c>
      <c r="F242">
        <f>1+COUNTIFS(T_Total,"&gt;"&amp;D242,T_Pos,$B242)</f>
        <v>26</v>
      </c>
      <c r="G242">
        <f>1+COUNTIFS(T_Avg_PPG,"&gt;"&amp;E242,T_Pos,$B242)</f>
        <v>34</v>
      </c>
      <c r="H242">
        <f>_xlfn.IFNA(VLOOKUP($A242,PredictionTable,MATCH(H$1,Analysts,0),FALSE),60)</f>
        <v>60</v>
      </c>
      <c r="I242">
        <f>_xlfn.IFNA(VLOOKUP($A242,PredictionTable,MATCH(I$1,Analysts,0),FALSE),60)</f>
        <v>60</v>
      </c>
      <c r="J242">
        <f>_xlfn.IFNA(VLOOKUP($A242,PredictionTable,MATCH(J$1,Analysts,0),FALSE),60)</f>
        <v>60</v>
      </c>
      <c r="K242">
        <f>_xlfn.IFNA(VLOOKUP($A242,PredictionTable,MATCH(K$1,Analysts,0),FALSE),60)</f>
        <v>60</v>
      </c>
      <c r="L242">
        <f>_xlfn.IFNA(VLOOKUP($A242,PredictionTable,MATCH(L$1,Analysts,0),FALSE),60)</f>
        <v>60</v>
      </c>
      <c r="M242">
        <f>_xlfn.IFNA(VLOOKUP($A242,PredictionTable,MATCH(M$1,Analysts,0),FALSE),60)</f>
        <v>60</v>
      </c>
      <c r="N242">
        <f>_xlfn.IFNA(VLOOKUP($A242,PredictionTable,MATCH(N$1,Analysts,0),FALSE),60)</f>
        <v>60</v>
      </c>
      <c r="O242">
        <f>_xlfn.IFNA(VLOOKUP($A242,PredictionTable,MATCH(O$1,Analysts,0),FALSE),60)</f>
        <v>60</v>
      </c>
      <c r="P242">
        <f>_xlfn.IFNA(VLOOKUP($A242,PredictionTable,MATCH(P$1,Analysts,0),FALSE),60)</f>
        <v>60</v>
      </c>
      <c r="V242" s="7" t="s">
        <v>589</v>
      </c>
    </row>
    <row r="243" spans="1:22" x14ac:dyDescent="0.45">
      <c r="A243" s="1" t="s">
        <v>248</v>
      </c>
      <c r="B243" s="1" t="s">
        <v>228</v>
      </c>
      <c r="C243" s="1">
        <f>INDEX(T_Performances,MATCH($A243,T_Names,0))</f>
        <v>5</v>
      </c>
      <c r="D243">
        <v>82.6</v>
      </c>
      <c r="E243" s="1">
        <f>INDEX(T_Avg_PPG,MATCH($A243,T_Names,0))</f>
        <v>9.1777777777777771</v>
      </c>
      <c r="F243">
        <f>1+COUNTIFS(T_Total,"&gt;"&amp;D243,T_Pos,$B243)</f>
        <v>27</v>
      </c>
      <c r="G243">
        <f>1+COUNTIFS(T_Avg_PPG,"&gt;"&amp;E243,T_Pos,$B243)</f>
        <v>10</v>
      </c>
      <c r="H243">
        <f>_xlfn.IFNA(VLOOKUP($A243,PredictionTable,MATCH(H$1,Analysts,0),FALSE),60)</f>
        <v>11</v>
      </c>
      <c r="I243">
        <f>_xlfn.IFNA(VLOOKUP($A243,PredictionTable,MATCH(I$1,Analysts,0),FALSE),60)</f>
        <v>11</v>
      </c>
      <c r="J243">
        <f>_xlfn.IFNA(VLOOKUP($A243,PredictionTable,MATCH(J$1,Analysts,0),FALSE),60)</f>
        <v>11</v>
      </c>
      <c r="K243">
        <f>_xlfn.IFNA(VLOOKUP($A243,PredictionTable,MATCH(K$1,Analysts,0),FALSE),60)</f>
        <v>12</v>
      </c>
      <c r="L243">
        <f>_xlfn.IFNA(VLOOKUP($A243,PredictionTable,MATCH(L$1,Analysts,0),FALSE),60)</f>
        <v>11</v>
      </c>
      <c r="M243">
        <f>_xlfn.IFNA(VLOOKUP($A243,PredictionTable,MATCH(M$1,Analysts,0),FALSE),60)</f>
        <v>11</v>
      </c>
      <c r="N243">
        <f>_xlfn.IFNA(VLOOKUP($A243,PredictionTable,MATCH(N$1,Analysts,0),FALSE),60)</f>
        <v>11</v>
      </c>
      <c r="O243">
        <f>_xlfn.IFNA(VLOOKUP($A243,PredictionTable,MATCH(O$1,Analysts,0),FALSE),60)</f>
        <v>11</v>
      </c>
      <c r="P243">
        <f>_xlfn.IFNA(VLOOKUP($A243,PredictionTable,MATCH(P$1,Analysts,0),FALSE),60)</f>
        <v>11.1</v>
      </c>
      <c r="V243" s="7" t="s">
        <v>589</v>
      </c>
    </row>
    <row r="244" spans="1:22" x14ac:dyDescent="0.45">
      <c r="A244" s="1" t="s">
        <v>249</v>
      </c>
      <c r="B244" s="1" t="s">
        <v>228</v>
      </c>
      <c r="C244" s="1">
        <f>INDEX(T_Performances,MATCH($A244,T_Names,0))</f>
        <v>2</v>
      </c>
      <c r="D244">
        <v>37.299999999999997</v>
      </c>
      <c r="E244" s="1">
        <f>INDEX(T_Avg_PPG,MATCH($A244,T_Names,0))</f>
        <v>7.4599999999999991</v>
      </c>
      <c r="F244">
        <f>1+COUNTIFS(T_Total,"&gt;"&amp;D244,T_Pos,$B244)</f>
        <v>47</v>
      </c>
      <c r="G244">
        <f>1+COUNTIFS(T_Avg_PPG,"&gt;"&amp;E244,T_Pos,$B244)</f>
        <v>20</v>
      </c>
      <c r="H244">
        <f>_xlfn.IFNA(VLOOKUP($A244,PredictionTable,MATCH(H$1,Analysts,0),FALSE),60)</f>
        <v>60</v>
      </c>
      <c r="I244">
        <f>_xlfn.IFNA(VLOOKUP($A244,PredictionTable,MATCH(I$1,Analysts,0),FALSE),60)</f>
        <v>60</v>
      </c>
      <c r="J244">
        <f>_xlfn.IFNA(VLOOKUP($A244,PredictionTable,MATCH(J$1,Analysts,0),FALSE),60)</f>
        <v>60</v>
      </c>
      <c r="K244">
        <f>_xlfn.IFNA(VLOOKUP($A244,PredictionTable,MATCH(K$1,Analysts,0),FALSE),60)</f>
        <v>60</v>
      </c>
      <c r="L244">
        <f>_xlfn.IFNA(VLOOKUP($A244,PredictionTable,MATCH(L$1,Analysts,0),FALSE),60)</f>
        <v>60</v>
      </c>
      <c r="M244">
        <f>_xlfn.IFNA(VLOOKUP($A244,PredictionTable,MATCH(M$1,Analysts,0),FALSE),60)</f>
        <v>60</v>
      </c>
      <c r="N244">
        <f>_xlfn.IFNA(VLOOKUP($A244,PredictionTable,MATCH(N$1,Analysts,0),FALSE),60)</f>
        <v>60</v>
      </c>
      <c r="O244">
        <f>_xlfn.IFNA(VLOOKUP($A244,PredictionTable,MATCH(O$1,Analysts,0),FALSE),60)</f>
        <v>60</v>
      </c>
      <c r="P244">
        <f>_xlfn.IFNA(VLOOKUP($A244,PredictionTable,MATCH(P$1,Analysts,0),FALSE),60)</f>
        <v>60</v>
      </c>
      <c r="V244" s="7" t="s">
        <v>589</v>
      </c>
    </row>
    <row r="245" spans="1:22" x14ac:dyDescent="0.45">
      <c r="A245" s="1" t="s">
        <v>250</v>
      </c>
      <c r="B245" s="1" t="s">
        <v>228</v>
      </c>
      <c r="C245" s="1">
        <f>INDEX(T_Performances,MATCH($A245,T_Names,0))</f>
        <v>7</v>
      </c>
      <c r="D245">
        <v>112.4</v>
      </c>
      <c r="E245" s="1">
        <f>INDEX(T_Avg_PPG,MATCH($A245,T_Names,0))</f>
        <v>7.4933333333333341</v>
      </c>
      <c r="F245">
        <f>1+COUNTIFS(T_Total,"&gt;"&amp;D245,T_Pos,$B245)</f>
        <v>12</v>
      </c>
      <c r="G245">
        <f>1+COUNTIFS(T_Avg_PPG,"&gt;"&amp;E245,T_Pos,$B245)</f>
        <v>19</v>
      </c>
      <c r="H245">
        <f>_xlfn.IFNA(VLOOKUP($A245,PredictionTable,MATCH(H$1,Analysts,0),FALSE),60)</f>
        <v>21</v>
      </c>
      <c r="I245">
        <f>_xlfn.IFNA(VLOOKUP($A245,PredictionTable,MATCH(I$1,Analysts,0),FALSE),60)</f>
        <v>20</v>
      </c>
      <c r="J245">
        <f>_xlfn.IFNA(VLOOKUP($A245,PredictionTable,MATCH(J$1,Analysts,0),FALSE),60)</f>
        <v>22</v>
      </c>
      <c r="K245">
        <f>_xlfn.IFNA(VLOOKUP($A245,PredictionTable,MATCH(K$1,Analysts,0),FALSE),60)</f>
        <v>20</v>
      </c>
      <c r="L245">
        <f>_xlfn.IFNA(VLOOKUP($A245,PredictionTable,MATCH(L$1,Analysts,0),FALSE),60)</f>
        <v>22</v>
      </c>
      <c r="M245">
        <f>_xlfn.IFNA(VLOOKUP($A245,PredictionTable,MATCH(M$1,Analysts,0),FALSE),60)</f>
        <v>21</v>
      </c>
      <c r="N245">
        <f>_xlfn.IFNA(VLOOKUP($A245,PredictionTable,MATCH(N$1,Analysts,0),FALSE),60)</f>
        <v>16</v>
      </c>
      <c r="O245">
        <f>_xlfn.IFNA(VLOOKUP($A245,PredictionTable,MATCH(O$1,Analysts,0),FALSE),60)</f>
        <v>21</v>
      </c>
      <c r="P245">
        <f>_xlfn.IFNA(VLOOKUP($A245,PredictionTable,MATCH(P$1,Analysts,0),FALSE),60)</f>
        <v>20.399999999999999</v>
      </c>
      <c r="V245" s="7" t="s">
        <v>589</v>
      </c>
    </row>
    <row r="246" spans="1:22" x14ac:dyDescent="0.45">
      <c r="A246" s="1" t="s">
        <v>251</v>
      </c>
      <c r="B246" s="1" t="s">
        <v>228</v>
      </c>
      <c r="C246" s="1">
        <f>INDEX(T_Performances,MATCH($A246,T_Names,0))</f>
        <v>5</v>
      </c>
      <c r="D246">
        <v>97.8</v>
      </c>
      <c r="E246" s="1">
        <f>INDEX(T_Avg_PPG,MATCH($A246,T_Names,0))</f>
        <v>6.52</v>
      </c>
      <c r="F246">
        <f>1+COUNTIFS(T_Total,"&gt;"&amp;D246,T_Pos,$B246)</f>
        <v>17</v>
      </c>
      <c r="G246">
        <f>1+COUNTIFS(T_Avg_PPG,"&gt;"&amp;E246,T_Pos,$B246)</f>
        <v>29</v>
      </c>
      <c r="H246">
        <f>_xlfn.IFNA(VLOOKUP($A246,PredictionTable,MATCH(H$1,Analysts,0),FALSE),60)</f>
        <v>22</v>
      </c>
      <c r="I246">
        <f>_xlfn.IFNA(VLOOKUP($A246,PredictionTable,MATCH(I$1,Analysts,0),FALSE),60)</f>
        <v>21</v>
      </c>
      <c r="J246">
        <f>_xlfn.IFNA(VLOOKUP($A246,PredictionTable,MATCH(J$1,Analysts,0),FALSE),60)</f>
        <v>21</v>
      </c>
      <c r="K246">
        <f>_xlfn.IFNA(VLOOKUP($A246,PredictionTable,MATCH(K$1,Analysts,0),FALSE),60)</f>
        <v>22</v>
      </c>
      <c r="L246">
        <f>_xlfn.IFNA(VLOOKUP($A246,PredictionTable,MATCH(L$1,Analysts,0),FALSE),60)</f>
        <v>19</v>
      </c>
      <c r="M246">
        <f>_xlfn.IFNA(VLOOKUP($A246,PredictionTable,MATCH(M$1,Analysts,0),FALSE),60)</f>
        <v>19</v>
      </c>
      <c r="N246" t="str">
        <f>_xlfn.IFNA(VLOOKUP($A246,PredictionTable,MATCH(N$1,Analysts,0),FALSE),60)</f>
        <v>NR</v>
      </c>
      <c r="O246">
        <f>_xlfn.IFNA(VLOOKUP($A246,PredictionTable,MATCH(O$1,Analysts,0),FALSE),60)</f>
        <v>20</v>
      </c>
      <c r="P246">
        <f>_xlfn.IFNA(VLOOKUP($A246,PredictionTable,MATCH(P$1,Analysts,0),FALSE),60)</f>
        <v>21.3</v>
      </c>
      <c r="V246" s="7" t="s">
        <v>589</v>
      </c>
    </row>
    <row r="247" spans="1:22" x14ac:dyDescent="0.45">
      <c r="A247" s="1" t="s">
        <v>252</v>
      </c>
      <c r="B247" s="1" t="s">
        <v>228</v>
      </c>
      <c r="C247" s="1">
        <f>INDEX(T_Performances,MATCH($A247,T_Names,0))</f>
        <v>3</v>
      </c>
      <c r="D247">
        <v>91.7</v>
      </c>
      <c r="E247" s="1">
        <f>INDEX(T_Avg_PPG,MATCH($A247,T_Names,0))</f>
        <v>5.3941176470588239</v>
      </c>
      <c r="F247">
        <f>1+COUNTIFS(T_Total,"&gt;"&amp;D247,T_Pos,$B247)</f>
        <v>21</v>
      </c>
      <c r="G247">
        <f>1+COUNTIFS(T_Avg_PPG,"&gt;"&amp;E247,T_Pos,$B247)</f>
        <v>43</v>
      </c>
      <c r="H247">
        <f>_xlfn.IFNA(VLOOKUP($A247,PredictionTable,MATCH(H$1,Analysts,0),FALSE),60)</f>
        <v>16</v>
      </c>
      <c r="I247">
        <f>_xlfn.IFNA(VLOOKUP($A247,PredictionTable,MATCH(I$1,Analysts,0),FALSE),60)</f>
        <v>16</v>
      </c>
      <c r="J247">
        <f>_xlfn.IFNA(VLOOKUP($A247,PredictionTable,MATCH(J$1,Analysts,0),FALSE),60)</f>
        <v>15</v>
      </c>
      <c r="K247">
        <f>_xlfn.IFNA(VLOOKUP($A247,PredictionTable,MATCH(K$1,Analysts,0),FALSE),60)</f>
        <v>15</v>
      </c>
      <c r="L247">
        <f>_xlfn.IFNA(VLOOKUP($A247,PredictionTable,MATCH(L$1,Analysts,0),FALSE),60)</f>
        <v>14</v>
      </c>
      <c r="M247">
        <f>_xlfn.IFNA(VLOOKUP($A247,PredictionTable,MATCH(M$1,Analysts,0),FALSE),60)</f>
        <v>15</v>
      </c>
      <c r="N247">
        <f>_xlfn.IFNA(VLOOKUP($A247,PredictionTable,MATCH(N$1,Analysts,0),FALSE),60)</f>
        <v>13</v>
      </c>
      <c r="O247">
        <f>_xlfn.IFNA(VLOOKUP($A247,PredictionTable,MATCH(O$1,Analysts,0),FALSE),60)</f>
        <v>16</v>
      </c>
      <c r="P247">
        <f>_xlfn.IFNA(VLOOKUP($A247,PredictionTable,MATCH(P$1,Analysts,0),FALSE),60)</f>
        <v>15</v>
      </c>
      <c r="V247" s="7" t="s">
        <v>589</v>
      </c>
    </row>
    <row r="248" spans="1:22" x14ac:dyDescent="0.45">
      <c r="A248" s="1" t="s">
        <v>253</v>
      </c>
      <c r="B248" s="1" t="s">
        <v>228</v>
      </c>
      <c r="C248" s="1">
        <f>INDEX(T_Performances,MATCH($A248,T_Names,0))</f>
        <v>5</v>
      </c>
      <c r="D248">
        <v>87.6</v>
      </c>
      <c r="E248" s="1">
        <f>INDEX(T_Avg_PPG,MATCH($A248,T_Names,0))</f>
        <v>6.2571428571428571</v>
      </c>
      <c r="F248">
        <f>1+COUNTIFS(T_Total,"&gt;"&amp;D248,T_Pos,$B248)</f>
        <v>23</v>
      </c>
      <c r="G248">
        <f>1+COUNTIFS(T_Avg_PPG,"&gt;"&amp;E248,T_Pos,$B248)</f>
        <v>31</v>
      </c>
      <c r="H248">
        <f>_xlfn.IFNA(VLOOKUP($A248,PredictionTable,MATCH(H$1,Analysts,0),FALSE),60)</f>
        <v>20</v>
      </c>
      <c r="I248">
        <f>_xlfn.IFNA(VLOOKUP($A248,PredictionTable,MATCH(I$1,Analysts,0),FALSE),60)</f>
        <v>19</v>
      </c>
      <c r="J248">
        <f>_xlfn.IFNA(VLOOKUP($A248,PredictionTable,MATCH(J$1,Analysts,0),FALSE),60)</f>
        <v>19</v>
      </c>
      <c r="K248">
        <f>_xlfn.IFNA(VLOOKUP($A248,PredictionTable,MATCH(K$1,Analysts,0),FALSE),60)</f>
        <v>19</v>
      </c>
      <c r="L248">
        <f>_xlfn.IFNA(VLOOKUP($A248,PredictionTable,MATCH(L$1,Analysts,0),FALSE),60)</f>
        <v>21</v>
      </c>
      <c r="M248">
        <f>_xlfn.IFNA(VLOOKUP($A248,PredictionTable,MATCH(M$1,Analysts,0),FALSE),60)</f>
        <v>20</v>
      </c>
      <c r="N248" t="str">
        <f>_xlfn.IFNA(VLOOKUP($A248,PredictionTable,MATCH(N$1,Analysts,0),FALSE),60)</f>
        <v>NR</v>
      </c>
      <c r="O248">
        <f>_xlfn.IFNA(VLOOKUP($A248,PredictionTable,MATCH(O$1,Analysts,0),FALSE),60)</f>
        <v>22</v>
      </c>
      <c r="P248">
        <f>_xlfn.IFNA(VLOOKUP($A248,PredictionTable,MATCH(P$1,Analysts,0),FALSE),60)</f>
        <v>20.8</v>
      </c>
      <c r="V248" s="7" t="s">
        <v>589</v>
      </c>
    </row>
    <row r="249" spans="1:22" x14ac:dyDescent="0.45">
      <c r="A249" s="1" t="s">
        <v>254</v>
      </c>
      <c r="B249" s="1" t="s">
        <v>228</v>
      </c>
      <c r="C249" s="1">
        <f>INDEX(T_Performances,MATCH($A249,T_Names,0))</f>
        <v>5</v>
      </c>
      <c r="D249">
        <v>87.3</v>
      </c>
      <c r="E249" s="1">
        <f>INDEX(T_Avg_PPG,MATCH($A249,T_Names,0))</f>
        <v>7.2749999999999995</v>
      </c>
      <c r="F249">
        <f>1+COUNTIFS(T_Total,"&gt;"&amp;D249,T_Pos,$B249)</f>
        <v>24</v>
      </c>
      <c r="G249">
        <f>1+COUNTIFS(T_Avg_PPG,"&gt;"&amp;E249,T_Pos,$B249)</f>
        <v>22</v>
      </c>
      <c r="H249">
        <f>_xlfn.IFNA(VLOOKUP($A249,PredictionTable,MATCH(H$1,Analysts,0),FALSE),60)</f>
        <v>60</v>
      </c>
      <c r="I249">
        <f>_xlfn.IFNA(VLOOKUP($A249,PredictionTable,MATCH(I$1,Analysts,0),FALSE),60)</f>
        <v>60</v>
      </c>
      <c r="J249">
        <f>_xlfn.IFNA(VLOOKUP($A249,PredictionTable,MATCH(J$1,Analysts,0),FALSE),60)</f>
        <v>60</v>
      </c>
      <c r="K249">
        <f>_xlfn.IFNA(VLOOKUP($A249,PredictionTable,MATCH(K$1,Analysts,0),FALSE),60)</f>
        <v>60</v>
      </c>
      <c r="L249">
        <f>_xlfn.IFNA(VLOOKUP($A249,PredictionTable,MATCH(L$1,Analysts,0),FALSE),60)</f>
        <v>60</v>
      </c>
      <c r="M249">
        <f>_xlfn.IFNA(VLOOKUP($A249,PredictionTable,MATCH(M$1,Analysts,0),FALSE),60)</f>
        <v>60</v>
      </c>
      <c r="N249">
        <f>_xlfn.IFNA(VLOOKUP($A249,PredictionTable,MATCH(N$1,Analysts,0),FALSE),60)</f>
        <v>60</v>
      </c>
      <c r="O249">
        <f>_xlfn.IFNA(VLOOKUP($A249,PredictionTable,MATCH(O$1,Analysts,0),FALSE),60)</f>
        <v>60</v>
      </c>
      <c r="P249">
        <f>_xlfn.IFNA(VLOOKUP($A249,PredictionTable,MATCH(P$1,Analysts,0),FALSE),60)</f>
        <v>60</v>
      </c>
      <c r="V249" s="7" t="s">
        <v>589</v>
      </c>
    </row>
    <row r="250" spans="1:22" x14ac:dyDescent="0.45">
      <c r="A250" s="1" t="s">
        <v>255</v>
      </c>
      <c r="B250" s="1" t="s">
        <v>228</v>
      </c>
      <c r="C250" s="1">
        <f>INDEX(T_Performances,MATCH($A250,T_Names,0))</f>
        <v>3</v>
      </c>
      <c r="D250">
        <v>86.1</v>
      </c>
      <c r="E250" s="1">
        <f>INDEX(T_Avg_PPG,MATCH($A250,T_Names,0))</f>
        <v>5.7399999999999993</v>
      </c>
      <c r="F250">
        <f>1+COUNTIFS(T_Total,"&gt;"&amp;D250,T_Pos,$B250)</f>
        <v>25</v>
      </c>
      <c r="G250">
        <f>1+COUNTIFS(T_Avg_PPG,"&gt;"&amp;E250,T_Pos,$B250)</f>
        <v>37</v>
      </c>
      <c r="H250">
        <f>_xlfn.IFNA(VLOOKUP($A250,PredictionTable,MATCH(H$1,Analysts,0),FALSE),60)</f>
        <v>60</v>
      </c>
      <c r="I250">
        <f>_xlfn.IFNA(VLOOKUP($A250,PredictionTable,MATCH(I$1,Analysts,0),FALSE),60)</f>
        <v>60</v>
      </c>
      <c r="J250">
        <f>_xlfn.IFNA(VLOOKUP($A250,PredictionTable,MATCH(J$1,Analysts,0),FALSE),60)</f>
        <v>60</v>
      </c>
      <c r="K250">
        <f>_xlfn.IFNA(VLOOKUP($A250,PredictionTable,MATCH(K$1,Analysts,0),FALSE),60)</f>
        <v>60</v>
      </c>
      <c r="L250">
        <f>_xlfn.IFNA(VLOOKUP($A250,PredictionTable,MATCH(L$1,Analysts,0),FALSE),60)</f>
        <v>60</v>
      </c>
      <c r="M250">
        <f>_xlfn.IFNA(VLOOKUP($A250,PredictionTable,MATCH(M$1,Analysts,0),FALSE),60)</f>
        <v>60</v>
      </c>
      <c r="N250">
        <f>_xlfn.IFNA(VLOOKUP($A250,PredictionTable,MATCH(N$1,Analysts,0),FALSE),60)</f>
        <v>60</v>
      </c>
      <c r="O250">
        <f>_xlfn.IFNA(VLOOKUP($A250,PredictionTable,MATCH(O$1,Analysts,0),FALSE),60)</f>
        <v>60</v>
      </c>
      <c r="P250">
        <f>_xlfn.IFNA(VLOOKUP($A250,PredictionTable,MATCH(P$1,Analysts,0),FALSE),60)</f>
        <v>60</v>
      </c>
      <c r="V250" s="7" t="s">
        <v>589</v>
      </c>
    </row>
    <row r="251" spans="1:22" x14ac:dyDescent="0.45">
      <c r="A251" s="1" t="s">
        <v>256</v>
      </c>
      <c r="B251" s="1" t="s">
        <v>228</v>
      </c>
      <c r="C251" s="1">
        <f>INDEX(T_Performances,MATCH($A251,T_Names,0))</f>
        <v>4</v>
      </c>
      <c r="D251">
        <v>80</v>
      </c>
      <c r="E251" s="1">
        <f>INDEX(T_Avg_PPG,MATCH($A251,T_Names,0))</f>
        <v>5.7142857142857144</v>
      </c>
      <c r="F251">
        <f>1+COUNTIFS(T_Total,"&gt;"&amp;D251,T_Pos,$B251)</f>
        <v>28</v>
      </c>
      <c r="G251">
        <f>1+COUNTIFS(T_Avg_PPG,"&gt;"&amp;E251,T_Pos,$B251)</f>
        <v>38</v>
      </c>
      <c r="H251">
        <f>_xlfn.IFNA(VLOOKUP($A251,PredictionTable,MATCH(H$1,Analysts,0),FALSE),60)</f>
        <v>23</v>
      </c>
      <c r="I251">
        <f>_xlfn.IFNA(VLOOKUP($A251,PredictionTable,MATCH(I$1,Analysts,0),FALSE),60)</f>
        <v>24</v>
      </c>
      <c r="J251">
        <f>_xlfn.IFNA(VLOOKUP($A251,PredictionTable,MATCH(J$1,Analysts,0),FALSE),60)</f>
        <v>24</v>
      </c>
      <c r="K251">
        <f>_xlfn.IFNA(VLOOKUP($A251,PredictionTable,MATCH(K$1,Analysts,0),FALSE),60)</f>
        <v>21</v>
      </c>
      <c r="L251">
        <f>_xlfn.IFNA(VLOOKUP($A251,PredictionTable,MATCH(L$1,Analysts,0),FALSE),60)</f>
        <v>23</v>
      </c>
      <c r="M251">
        <f>_xlfn.IFNA(VLOOKUP($A251,PredictionTable,MATCH(M$1,Analysts,0),FALSE),60)</f>
        <v>23</v>
      </c>
      <c r="N251">
        <f>_xlfn.IFNA(VLOOKUP($A251,PredictionTable,MATCH(N$1,Analysts,0),FALSE),60)</f>
        <v>20</v>
      </c>
      <c r="O251">
        <f>_xlfn.IFNA(VLOOKUP($A251,PredictionTable,MATCH(O$1,Analysts,0),FALSE),60)</f>
        <v>18</v>
      </c>
      <c r="P251">
        <f>_xlfn.IFNA(VLOOKUP($A251,PredictionTable,MATCH(P$1,Analysts,0),FALSE),60)</f>
        <v>22</v>
      </c>
      <c r="V251" s="7" t="s">
        <v>589</v>
      </c>
    </row>
    <row r="252" spans="1:22" x14ac:dyDescent="0.45">
      <c r="A252" s="1" t="s">
        <v>257</v>
      </c>
      <c r="B252" s="1" t="s">
        <v>228</v>
      </c>
      <c r="C252" s="1">
        <f>INDEX(T_Performances,MATCH($A252,T_Names,0))</f>
        <v>3</v>
      </c>
      <c r="D252">
        <v>78.8</v>
      </c>
      <c r="E252" s="1">
        <f>INDEX(T_Avg_PPG,MATCH($A252,T_Names,0))</f>
        <v>6.0615384615384613</v>
      </c>
      <c r="F252">
        <f>1+COUNTIFS(T_Total,"&gt;"&amp;D252,T_Pos,$B252)</f>
        <v>29</v>
      </c>
      <c r="G252">
        <f>1+COUNTIFS(T_Avg_PPG,"&gt;"&amp;E252,T_Pos,$B252)</f>
        <v>35</v>
      </c>
      <c r="H252">
        <f>_xlfn.IFNA(VLOOKUP($A252,PredictionTable,MATCH(H$1,Analysts,0),FALSE),60)</f>
        <v>6</v>
      </c>
      <c r="I252">
        <f>_xlfn.IFNA(VLOOKUP($A252,PredictionTable,MATCH(I$1,Analysts,0),FALSE),60)</f>
        <v>7</v>
      </c>
      <c r="J252">
        <f>_xlfn.IFNA(VLOOKUP($A252,PredictionTable,MATCH(J$1,Analysts,0),FALSE),60)</f>
        <v>5</v>
      </c>
      <c r="K252">
        <f>_xlfn.IFNA(VLOOKUP($A252,PredictionTable,MATCH(K$1,Analysts,0),FALSE),60)</f>
        <v>6</v>
      </c>
      <c r="L252">
        <f>_xlfn.IFNA(VLOOKUP($A252,PredictionTable,MATCH(L$1,Analysts,0),FALSE),60)</f>
        <v>6</v>
      </c>
      <c r="M252">
        <f>_xlfn.IFNA(VLOOKUP($A252,PredictionTable,MATCH(M$1,Analysts,0),FALSE),60)</f>
        <v>7</v>
      </c>
      <c r="N252">
        <f>_xlfn.IFNA(VLOOKUP($A252,PredictionTable,MATCH(N$1,Analysts,0),FALSE),60)</f>
        <v>3</v>
      </c>
      <c r="O252">
        <f>_xlfn.IFNA(VLOOKUP($A252,PredictionTable,MATCH(O$1,Analysts,0),FALSE),60)</f>
        <v>6</v>
      </c>
      <c r="P252">
        <f>_xlfn.IFNA(VLOOKUP($A252,PredictionTable,MATCH(P$1,Analysts,0),FALSE),60)</f>
        <v>5.8</v>
      </c>
      <c r="V252" s="7" t="s">
        <v>589</v>
      </c>
    </row>
    <row r="253" spans="1:22" x14ac:dyDescent="0.45">
      <c r="A253" s="1" t="s">
        <v>258</v>
      </c>
      <c r="B253" s="1" t="s">
        <v>228</v>
      </c>
      <c r="C253" s="1">
        <f>INDEX(T_Performances,MATCH($A253,T_Names,0))</f>
        <v>4</v>
      </c>
      <c r="D253">
        <v>74.900000000000006</v>
      </c>
      <c r="E253" s="1">
        <f>INDEX(T_Avg_PPG,MATCH($A253,T_Names,0))</f>
        <v>5.3500000000000005</v>
      </c>
      <c r="F253">
        <f>1+COUNTIFS(T_Total,"&gt;"&amp;D253,T_Pos,$B253)</f>
        <v>30</v>
      </c>
      <c r="G253">
        <f>1+COUNTIFS(T_Avg_PPG,"&gt;"&amp;E253,T_Pos,$B253)</f>
        <v>45</v>
      </c>
      <c r="H253">
        <f>_xlfn.IFNA(VLOOKUP($A253,PredictionTable,MATCH(H$1,Analysts,0),FALSE),60)</f>
        <v>9</v>
      </c>
      <c r="I253">
        <f>_xlfn.IFNA(VLOOKUP($A253,PredictionTable,MATCH(I$1,Analysts,0),FALSE),60)</f>
        <v>10</v>
      </c>
      <c r="J253">
        <f>_xlfn.IFNA(VLOOKUP($A253,PredictionTable,MATCH(J$1,Analysts,0),FALSE),60)</f>
        <v>10</v>
      </c>
      <c r="K253">
        <f>_xlfn.IFNA(VLOOKUP($A253,PredictionTable,MATCH(K$1,Analysts,0),FALSE),60)</f>
        <v>10</v>
      </c>
      <c r="L253">
        <f>_xlfn.IFNA(VLOOKUP($A253,PredictionTable,MATCH(L$1,Analysts,0),FALSE),60)</f>
        <v>9</v>
      </c>
      <c r="M253">
        <f>_xlfn.IFNA(VLOOKUP($A253,PredictionTable,MATCH(M$1,Analysts,0),FALSE),60)</f>
        <v>10</v>
      </c>
      <c r="N253">
        <f>_xlfn.IFNA(VLOOKUP($A253,PredictionTable,MATCH(N$1,Analysts,0),FALSE),60)</f>
        <v>9</v>
      </c>
      <c r="O253">
        <f>_xlfn.IFNA(VLOOKUP($A253,PredictionTable,MATCH(O$1,Analysts,0),FALSE),60)</f>
        <v>10</v>
      </c>
      <c r="P253">
        <f>_xlfn.IFNA(VLOOKUP($A253,PredictionTable,MATCH(P$1,Analysts,0),FALSE),60)</f>
        <v>9.6</v>
      </c>
      <c r="V253" s="7" t="s">
        <v>589</v>
      </c>
    </row>
    <row r="254" spans="1:22" x14ac:dyDescent="0.45">
      <c r="A254" s="1" t="s">
        <v>259</v>
      </c>
      <c r="B254" s="1" t="s">
        <v>228</v>
      </c>
      <c r="C254" s="1">
        <f>INDEX(T_Performances,MATCH($A254,T_Names,0))</f>
        <v>4</v>
      </c>
      <c r="D254">
        <v>71.099999999999994</v>
      </c>
      <c r="E254" s="1">
        <f>INDEX(T_Avg_PPG,MATCH($A254,T_Names,0))</f>
        <v>5.4692307692307685</v>
      </c>
      <c r="F254">
        <f>1+COUNTIFS(T_Total,"&gt;"&amp;D254,T_Pos,$B254)</f>
        <v>31</v>
      </c>
      <c r="G254">
        <f>1+COUNTIFS(T_Avg_PPG,"&gt;"&amp;E254,T_Pos,$B254)</f>
        <v>42</v>
      </c>
      <c r="H254">
        <f>_xlfn.IFNA(VLOOKUP($A254,PredictionTable,MATCH(H$1,Analysts,0),FALSE),60)</f>
        <v>60</v>
      </c>
      <c r="I254">
        <f>_xlfn.IFNA(VLOOKUP($A254,PredictionTable,MATCH(I$1,Analysts,0),FALSE),60)</f>
        <v>60</v>
      </c>
      <c r="J254">
        <f>_xlfn.IFNA(VLOOKUP($A254,PredictionTable,MATCH(J$1,Analysts,0),FALSE),60)</f>
        <v>60</v>
      </c>
      <c r="K254">
        <f>_xlfn.IFNA(VLOOKUP($A254,PredictionTable,MATCH(K$1,Analysts,0),FALSE),60)</f>
        <v>60</v>
      </c>
      <c r="L254">
        <f>_xlfn.IFNA(VLOOKUP($A254,PredictionTable,MATCH(L$1,Analysts,0),FALSE),60)</f>
        <v>60</v>
      </c>
      <c r="M254">
        <f>_xlfn.IFNA(VLOOKUP($A254,PredictionTable,MATCH(M$1,Analysts,0),FALSE),60)</f>
        <v>60</v>
      </c>
      <c r="N254">
        <f>_xlfn.IFNA(VLOOKUP($A254,PredictionTable,MATCH(N$1,Analysts,0),FALSE),60)</f>
        <v>60</v>
      </c>
      <c r="O254">
        <f>_xlfn.IFNA(VLOOKUP($A254,PredictionTable,MATCH(O$1,Analysts,0),FALSE),60)</f>
        <v>60</v>
      </c>
      <c r="P254">
        <f>_xlfn.IFNA(VLOOKUP($A254,PredictionTable,MATCH(P$1,Analysts,0),FALSE),60)</f>
        <v>60</v>
      </c>
      <c r="V254" s="7" t="s">
        <v>589</v>
      </c>
    </row>
    <row r="255" spans="1:22" x14ac:dyDescent="0.45">
      <c r="A255" s="1" t="s">
        <v>260</v>
      </c>
      <c r="B255" s="1" t="s">
        <v>228</v>
      </c>
      <c r="C255" s="1">
        <f>INDEX(T_Performances,MATCH($A255,T_Names,0))</f>
        <v>2</v>
      </c>
      <c r="D255">
        <v>71</v>
      </c>
      <c r="E255" s="1">
        <f>INDEX(T_Avg_PPG,MATCH($A255,T_Names,0))</f>
        <v>5.0714285714285712</v>
      </c>
      <c r="F255">
        <f>1+COUNTIFS(T_Total,"&gt;"&amp;D255,T_Pos,$B255)</f>
        <v>32</v>
      </c>
      <c r="G255">
        <f>1+COUNTIFS(T_Avg_PPG,"&gt;"&amp;E255,T_Pos,$B255)</f>
        <v>49</v>
      </c>
      <c r="H255">
        <f>_xlfn.IFNA(VLOOKUP($A255,PredictionTable,MATCH(H$1,Analysts,0),FALSE),60)</f>
        <v>60</v>
      </c>
      <c r="I255">
        <f>_xlfn.IFNA(VLOOKUP($A255,PredictionTable,MATCH(I$1,Analysts,0),FALSE),60)</f>
        <v>60</v>
      </c>
      <c r="J255">
        <f>_xlfn.IFNA(VLOOKUP($A255,PredictionTable,MATCH(J$1,Analysts,0),FALSE),60)</f>
        <v>60</v>
      </c>
      <c r="K255">
        <f>_xlfn.IFNA(VLOOKUP($A255,PredictionTable,MATCH(K$1,Analysts,0),FALSE),60)</f>
        <v>60</v>
      </c>
      <c r="L255">
        <f>_xlfn.IFNA(VLOOKUP($A255,PredictionTable,MATCH(L$1,Analysts,0),FALSE),60)</f>
        <v>60</v>
      </c>
      <c r="M255">
        <f>_xlfn.IFNA(VLOOKUP($A255,PredictionTable,MATCH(M$1,Analysts,0),FALSE),60)</f>
        <v>60</v>
      </c>
      <c r="N255">
        <f>_xlfn.IFNA(VLOOKUP($A255,PredictionTable,MATCH(N$1,Analysts,0),FALSE),60)</f>
        <v>60</v>
      </c>
      <c r="O255">
        <f>_xlfn.IFNA(VLOOKUP($A255,PredictionTable,MATCH(O$1,Analysts,0),FALSE),60)</f>
        <v>60</v>
      </c>
      <c r="P255">
        <f>_xlfn.IFNA(VLOOKUP($A255,PredictionTable,MATCH(P$1,Analysts,0),FALSE),60)</f>
        <v>60</v>
      </c>
      <c r="V255" s="7" t="s">
        <v>589</v>
      </c>
    </row>
    <row r="256" spans="1:22" x14ac:dyDescent="0.45">
      <c r="A256" s="1" t="s">
        <v>261</v>
      </c>
      <c r="B256" s="1" t="s">
        <v>228</v>
      </c>
      <c r="C256" s="1">
        <f>INDEX(T_Performances,MATCH($A256,T_Names,0))</f>
        <v>3</v>
      </c>
      <c r="D256">
        <v>66</v>
      </c>
      <c r="E256" s="1">
        <f>INDEX(T_Avg_PPG,MATCH($A256,T_Names,0))</f>
        <v>8.25</v>
      </c>
      <c r="F256">
        <f>1+COUNTIFS(T_Total,"&gt;"&amp;D256,T_Pos,$B256)</f>
        <v>33</v>
      </c>
      <c r="G256">
        <f>1+COUNTIFS(T_Avg_PPG,"&gt;"&amp;E256,T_Pos,$B256)</f>
        <v>15</v>
      </c>
      <c r="H256">
        <f>_xlfn.IFNA(VLOOKUP($A256,PredictionTable,MATCH(H$1,Analysts,0),FALSE),60)</f>
        <v>5</v>
      </c>
      <c r="I256">
        <f>_xlfn.IFNA(VLOOKUP($A256,PredictionTable,MATCH(I$1,Analysts,0),FALSE),60)</f>
        <v>5</v>
      </c>
      <c r="J256">
        <f>_xlfn.IFNA(VLOOKUP($A256,PredictionTable,MATCH(J$1,Analysts,0),FALSE),60)</f>
        <v>7</v>
      </c>
      <c r="K256">
        <f>_xlfn.IFNA(VLOOKUP($A256,PredictionTable,MATCH(K$1,Analysts,0),FALSE),60)</f>
        <v>5</v>
      </c>
      <c r="L256">
        <f>_xlfn.IFNA(VLOOKUP($A256,PredictionTable,MATCH(L$1,Analysts,0),FALSE),60)</f>
        <v>8</v>
      </c>
      <c r="M256">
        <f>_xlfn.IFNA(VLOOKUP($A256,PredictionTable,MATCH(M$1,Analysts,0),FALSE),60)</f>
        <v>4</v>
      </c>
      <c r="N256">
        <f>_xlfn.IFNA(VLOOKUP($A256,PredictionTable,MATCH(N$1,Analysts,0),FALSE),60)</f>
        <v>6</v>
      </c>
      <c r="O256">
        <f>_xlfn.IFNA(VLOOKUP($A256,PredictionTable,MATCH(O$1,Analysts,0),FALSE),60)</f>
        <v>5</v>
      </c>
      <c r="P256">
        <f>_xlfn.IFNA(VLOOKUP($A256,PredictionTable,MATCH(P$1,Analysts,0),FALSE),60)</f>
        <v>5.6</v>
      </c>
      <c r="V256" s="7" t="s">
        <v>589</v>
      </c>
    </row>
    <row r="257" spans="1:22" x14ac:dyDescent="0.45">
      <c r="A257" s="1" t="s">
        <v>262</v>
      </c>
      <c r="B257" s="1" t="s">
        <v>228</v>
      </c>
      <c r="C257" s="1">
        <f>INDEX(T_Performances,MATCH($A257,T_Names,0))</f>
        <v>3</v>
      </c>
      <c r="D257">
        <v>66</v>
      </c>
      <c r="E257" s="1">
        <f>INDEX(T_Avg_PPG,MATCH($A257,T_Names,0))</f>
        <v>6.6</v>
      </c>
      <c r="F257">
        <f>1+COUNTIFS(T_Total,"&gt;"&amp;D257,T_Pos,$B257)</f>
        <v>33</v>
      </c>
      <c r="G257">
        <f>1+COUNTIFS(T_Avg_PPG,"&gt;"&amp;E257,T_Pos,$B257)</f>
        <v>28</v>
      </c>
      <c r="H257">
        <f>_xlfn.IFNA(VLOOKUP($A257,PredictionTable,MATCH(H$1,Analysts,0),FALSE),60)</f>
        <v>13</v>
      </c>
      <c r="I257">
        <f>_xlfn.IFNA(VLOOKUP($A257,PredictionTable,MATCH(I$1,Analysts,0),FALSE),60)</f>
        <v>13</v>
      </c>
      <c r="J257">
        <f>_xlfn.IFNA(VLOOKUP($A257,PredictionTable,MATCH(J$1,Analysts,0),FALSE),60)</f>
        <v>13</v>
      </c>
      <c r="K257">
        <f>_xlfn.IFNA(VLOOKUP($A257,PredictionTable,MATCH(K$1,Analysts,0),FALSE),60)</f>
        <v>13</v>
      </c>
      <c r="L257">
        <f>_xlfn.IFNA(VLOOKUP($A257,PredictionTable,MATCH(L$1,Analysts,0),FALSE),60)</f>
        <v>12</v>
      </c>
      <c r="M257">
        <f>_xlfn.IFNA(VLOOKUP($A257,PredictionTable,MATCH(M$1,Analysts,0),FALSE),60)</f>
        <v>12</v>
      </c>
      <c r="N257">
        <f>_xlfn.IFNA(VLOOKUP($A257,PredictionTable,MATCH(N$1,Analysts,0),FALSE),60)</f>
        <v>17</v>
      </c>
      <c r="O257">
        <f>_xlfn.IFNA(VLOOKUP($A257,PredictionTable,MATCH(O$1,Analysts,0),FALSE),60)</f>
        <v>9</v>
      </c>
      <c r="P257">
        <f>_xlfn.IFNA(VLOOKUP($A257,PredictionTable,MATCH(P$1,Analysts,0),FALSE),60)</f>
        <v>12.8</v>
      </c>
      <c r="V257" s="7" t="s">
        <v>589</v>
      </c>
    </row>
    <row r="258" spans="1:22" x14ac:dyDescent="0.45">
      <c r="A258" s="1" t="s">
        <v>263</v>
      </c>
      <c r="B258" s="1" t="s">
        <v>228</v>
      </c>
      <c r="C258" s="1">
        <f>INDEX(T_Performances,MATCH($A258,T_Names,0))</f>
        <v>4</v>
      </c>
      <c r="D258">
        <v>63.5</v>
      </c>
      <c r="E258" s="1">
        <f>INDEX(T_Avg_PPG,MATCH($A258,T_Names,0))</f>
        <v>5.291666666666667</v>
      </c>
      <c r="F258">
        <f>1+COUNTIFS(T_Total,"&gt;"&amp;D258,T_Pos,$B258)</f>
        <v>35</v>
      </c>
      <c r="G258">
        <f>1+COUNTIFS(T_Avg_PPG,"&gt;"&amp;E258,T_Pos,$B258)</f>
        <v>47</v>
      </c>
      <c r="H258">
        <f>_xlfn.IFNA(VLOOKUP($A258,PredictionTable,MATCH(H$1,Analysts,0),FALSE),60)</f>
        <v>60</v>
      </c>
      <c r="I258">
        <f>_xlfn.IFNA(VLOOKUP($A258,PredictionTable,MATCH(I$1,Analysts,0),FALSE),60)</f>
        <v>60</v>
      </c>
      <c r="J258">
        <f>_xlfn.IFNA(VLOOKUP($A258,PredictionTable,MATCH(J$1,Analysts,0),FALSE),60)</f>
        <v>60</v>
      </c>
      <c r="K258">
        <f>_xlfn.IFNA(VLOOKUP($A258,PredictionTable,MATCH(K$1,Analysts,0),FALSE),60)</f>
        <v>60</v>
      </c>
      <c r="L258">
        <f>_xlfn.IFNA(VLOOKUP($A258,PredictionTable,MATCH(L$1,Analysts,0),FALSE),60)</f>
        <v>60</v>
      </c>
      <c r="M258">
        <f>_xlfn.IFNA(VLOOKUP($A258,PredictionTable,MATCH(M$1,Analysts,0),FALSE),60)</f>
        <v>60</v>
      </c>
      <c r="N258">
        <f>_xlfn.IFNA(VLOOKUP($A258,PredictionTable,MATCH(N$1,Analysts,0),FALSE),60)</f>
        <v>60</v>
      </c>
      <c r="O258">
        <f>_xlfn.IFNA(VLOOKUP($A258,PredictionTable,MATCH(O$1,Analysts,0),FALSE),60)</f>
        <v>60</v>
      </c>
      <c r="P258">
        <f>_xlfn.IFNA(VLOOKUP($A258,PredictionTable,MATCH(P$1,Analysts,0),FALSE),60)</f>
        <v>60</v>
      </c>
      <c r="V258" s="7" t="s">
        <v>589</v>
      </c>
    </row>
    <row r="259" spans="1:22" x14ac:dyDescent="0.45">
      <c r="A259" s="1" t="s">
        <v>264</v>
      </c>
      <c r="B259" s="1" t="s">
        <v>228</v>
      </c>
      <c r="C259" s="1">
        <f>INDEX(T_Performances,MATCH($A259,T_Names,0))</f>
        <v>2</v>
      </c>
      <c r="D259">
        <v>56.7</v>
      </c>
      <c r="E259" s="1">
        <f>INDEX(T_Avg_PPG,MATCH($A259,T_Names,0))</f>
        <v>5.67</v>
      </c>
      <c r="F259">
        <f>1+COUNTIFS(T_Total,"&gt;"&amp;D259,T_Pos,$B259)</f>
        <v>36</v>
      </c>
      <c r="G259">
        <f>1+COUNTIFS(T_Avg_PPG,"&gt;"&amp;E259,T_Pos,$B259)</f>
        <v>39</v>
      </c>
      <c r="H259">
        <f>_xlfn.IFNA(VLOOKUP($A259,PredictionTable,MATCH(H$1,Analysts,0),FALSE),60)</f>
        <v>60</v>
      </c>
      <c r="I259">
        <f>_xlfn.IFNA(VLOOKUP($A259,PredictionTable,MATCH(I$1,Analysts,0),FALSE),60)</f>
        <v>60</v>
      </c>
      <c r="J259">
        <f>_xlfn.IFNA(VLOOKUP($A259,PredictionTable,MATCH(J$1,Analysts,0),FALSE),60)</f>
        <v>60</v>
      </c>
      <c r="K259">
        <f>_xlfn.IFNA(VLOOKUP($A259,PredictionTable,MATCH(K$1,Analysts,0),FALSE),60)</f>
        <v>60</v>
      </c>
      <c r="L259">
        <f>_xlfn.IFNA(VLOOKUP($A259,PredictionTable,MATCH(L$1,Analysts,0),FALSE),60)</f>
        <v>60</v>
      </c>
      <c r="M259">
        <f>_xlfn.IFNA(VLOOKUP($A259,PredictionTable,MATCH(M$1,Analysts,0),FALSE),60)</f>
        <v>60</v>
      </c>
      <c r="N259">
        <f>_xlfn.IFNA(VLOOKUP($A259,PredictionTable,MATCH(N$1,Analysts,0),FALSE),60)</f>
        <v>60</v>
      </c>
      <c r="O259">
        <f>_xlfn.IFNA(VLOOKUP($A259,PredictionTable,MATCH(O$1,Analysts,0),FALSE),60)</f>
        <v>60</v>
      </c>
      <c r="P259">
        <f>_xlfn.IFNA(VLOOKUP($A259,PredictionTable,MATCH(P$1,Analysts,0),FALSE),60)</f>
        <v>60</v>
      </c>
      <c r="V259" s="7" t="s">
        <v>589</v>
      </c>
    </row>
    <row r="260" spans="1:22" x14ac:dyDescent="0.45">
      <c r="A260" s="1" t="s">
        <v>265</v>
      </c>
      <c r="B260" s="1" t="s">
        <v>228</v>
      </c>
      <c r="C260" s="1">
        <f>INDEX(T_Performances,MATCH($A260,T_Names,0))</f>
        <v>2</v>
      </c>
      <c r="D260">
        <v>54.8</v>
      </c>
      <c r="E260" s="1">
        <f>INDEX(T_Avg_PPG,MATCH($A260,T_Names,0))</f>
        <v>6.85</v>
      </c>
      <c r="F260">
        <f>1+COUNTIFS(T_Total,"&gt;"&amp;D260,T_Pos,$B260)</f>
        <v>37</v>
      </c>
      <c r="G260">
        <f>1+COUNTIFS(T_Avg_PPG,"&gt;"&amp;E260,T_Pos,$B260)</f>
        <v>26</v>
      </c>
      <c r="H260">
        <f>_xlfn.IFNA(VLOOKUP($A260,PredictionTable,MATCH(H$1,Analysts,0),FALSE),60)</f>
        <v>60</v>
      </c>
      <c r="I260">
        <f>_xlfn.IFNA(VLOOKUP($A260,PredictionTable,MATCH(I$1,Analysts,0),FALSE),60)</f>
        <v>60</v>
      </c>
      <c r="J260">
        <f>_xlfn.IFNA(VLOOKUP($A260,PredictionTable,MATCH(J$1,Analysts,0),FALSE),60)</f>
        <v>60</v>
      </c>
      <c r="K260">
        <f>_xlfn.IFNA(VLOOKUP($A260,PredictionTable,MATCH(K$1,Analysts,0),FALSE),60)</f>
        <v>60</v>
      </c>
      <c r="L260">
        <f>_xlfn.IFNA(VLOOKUP($A260,PredictionTable,MATCH(L$1,Analysts,0),FALSE),60)</f>
        <v>60</v>
      </c>
      <c r="M260">
        <f>_xlfn.IFNA(VLOOKUP($A260,PredictionTable,MATCH(M$1,Analysts,0),FALSE),60)</f>
        <v>60</v>
      </c>
      <c r="N260">
        <f>_xlfn.IFNA(VLOOKUP($A260,PredictionTable,MATCH(N$1,Analysts,0),FALSE),60)</f>
        <v>60</v>
      </c>
      <c r="O260">
        <f>_xlfn.IFNA(VLOOKUP($A260,PredictionTable,MATCH(O$1,Analysts,0),FALSE),60)</f>
        <v>60</v>
      </c>
      <c r="P260">
        <f>_xlfn.IFNA(VLOOKUP($A260,PredictionTable,MATCH(P$1,Analysts,0),FALSE),60)</f>
        <v>60</v>
      </c>
      <c r="V260" s="7" t="s">
        <v>589</v>
      </c>
    </row>
    <row r="261" spans="1:22" x14ac:dyDescent="0.45">
      <c r="A261" s="1" t="s">
        <v>266</v>
      </c>
      <c r="B261" s="1" t="s">
        <v>228</v>
      </c>
      <c r="C261" s="1">
        <f>INDEX(T_Performances,MATCH($A261,T_Names,0))</f>
        <v>1</v>
      </c>
      <c r="D261">
        <v>53.6</v>
      </c>
      <c r="E261" s="1">
        <f>INDEX(T_Avg_PPG,MATCH($A261,T_Names,0))</f>
        <v>5.36</v>
      </c>
      <c r="F261">
        <f>1+COUNTIFS(T_Total,"&gt;"&amp;D261,T_Pos,$B261)</f>
        <v>38</v>
      </c>
      <c r="G261">
        <f>1+COUNTIFS(T_Avg_PPG,"&gt;"&amp;E261,T_Pos,$B261)</f>
        <v>44</v>
      </c>
      <c r="H261">
        <f>_xlfn.IFNA(VLOOKUP($A261,PredictionTable,MATCH(H$1,Analysts,0),FALSE),60)</f>
        <v>60</v>
      </c>
      <c r="I261">
        <f>_xlfn.IFNA(VLOOKUP($A261,PredictionTable,MATCH(I$1,Analysts,0),FALSE),60)</f>
        <v>60</v>
      </c>
      <c r="J261">
        <f>_xlfn.IFNA(VLOOKUP($A261,PredictionTable,MATCH(J$1,Analysts,0),FALSE),60)</f>
        <v>60</v>
      </c>
      <c r="K261">
        <f>_xlfn.IFNA(VLOOKUP($A261,PredictionTable,MATCH(K$1,Analysts,0),FALSE),60)</f>
        <v>60</v>
      </c>
      <c r="L261">
        <f>_xlfn.IFNA(VLOOKUP($A261,PredictionTable,MATCH(L$1,Analysts,0),FALSE),60)</f>
        <v>60</v>
      </c>
      <c r="M261">
        <f>_xlfn.IFNA(VLOOKUP($A261,PredictionTable,MATCH(M$1,Analysts,0),FALSE),60)</f>
        <v>60</v>
      </c>
      <c r="N261">
        <f>_xlfn.IFNA(VLOOKUP($A261,PredictionTable,MATCH(N$1,Analysts,0),FALSE),60)</f>
        <v>60</v>
      </c>
      <c r="O261">
        <f>_xlfn.IFNA(VLOOKUP($A261,PredictionTable,MATCH(O$1,Analysts,0),FALSE),60)</f>
        <v>60</v>
      </c>
      <c r="P261">
        <f>_xlfn.IFNA(VLOOKUP($A261,PredictionTable,MATCH(P$1,Analysts,0),FALSE),60)</f>
        <v>60</v>
      </c>
      <c r="V261" s="7" t="s">
        <v>589</v>
      </c>
    </row>
    <row r="262" spans="1:22" x14ac:dyDescent="0.45">
      <c r="A262" s="1" t="s">
        <v>267</v>
      </c>
      <c r="B262" s="1" t="s">
        <v>228</v>
      </c>
      <c r="C262" s="1">
        <f>INDEX(T_Performances,MATCH($A262,T_Names,0))</f>
        <v>2</v>
      </c>
      <c r="D262">
        <v>50.4</v>
      </c>
      <c r="E262" s="1">
        <f>INDEX(T_Avg_PPG,MATCH($A262,T_Names,0))</f>
        <v>3.8769230769230769</v>
      </c>
      <c r="F262">
        <f>1+COUNTIFS(T_Total,"&gt;"&amp;D262,T_Pos,$B262)</f>
        <v>39</v>
      </c>
      <c r="G262">
        <f>1+COUNTIFS(T_Avg_PPG,"&gt;"&amp;E262,T_Pos,$B262)</f>
        <v>65</v>
      </c>
      <c r="H262">
        <f>_xlfn.IFNA(VLOOKUP($A262,PredictionTable,MATCH(H$1,Analysts,0),FALSE),60)</f>
        <v>60</v>
      </c>
      <c r="I262">
        <f>_xlfn.IFNA(VLOOKUP($A262,PredictionTable,MATCH(I$1,Analysts,0),FALSE),60)</f>
        <v>60</v>
      </c>
      <c r="J262">
        <f>_xlfn.IFNA(VLOOKUP($A262,PredictionTable,MATCH(J$1,Analysts,0),FALSE),60)</f>
        <v>60</v>
      </c>
      <c r="K262">
        <f>_xlfn.IFNA(VLOOKUP($A262,PredictionTable,MATCH(K$1,Analysts,0),FALSE),60)</f>
        <v>60</v>
      </c>
      <c r="L262">
        <f>_xlfn.IFNA(VLOOKUP($A262,PredictionTable,MATCH(L$1,Analysts,0),FALSE),60)</f>
        <v>60</v>
      </c>
      <c r="M262">
        <f>_xlfn.IFNA(VLOOKUP($A262,PredictionTable,MATCH(M$1,Analysts,0),FALSE),60)</f>
        <v>60</v>
      </c>
      <c r="N262">
        <f>_xlfn.IFNA(VLOOKUP($A262,PredictionTable,MATCH(N$1,Analysts,0),FALSE),60)</f>
        <v>60</v>
      </c>
      <c r="O262">
        <f>_xlfn.IFNA(VLOOKUP($A262,PredictionTable,MATCH(O$1,Analysts,0),FALSE),60)</f>
        <v>60</v>
      </c>
      <c r="P262">
        <f>_xlfn.IFNA(VLOOKUP($A262,PredictionTable,MATCH(P$1,Analysts,0),FALSE),60)</f>
        <v>60</v>
      </c>
      <c r="V262" s="7" t="s">
        <v>589</v>
      </c>
    </row>
    <row r="263" spans="1:22" x14ac:dyDescent="0.45">
      <c r="A263" s="1" t="s">
        <v>268</v>
      </c>
      <c r="B263" s="1" t="s">
        <v>228</v>
      </c>
      <c r="C263" s="1">
        <f>INDEX(T_Performances,MATCH($A263,T_Names,0))</f>
        <v>0</v>
      </c>
      <c r="D263">
        <v>48.1</v>
      </c>
      <c r="E263" s="1">
        <f>INDEX(T_Avg_PPG,MATCH($A263,T_Names,0))</f>
        <v>5.344444444444445</v>
      </c>
      <c r="F263">
        <f>1+COUNTIFS(T_Total,"&gt;"&amp;D263,T_Pos,$B263)</f>
        <v>40</v>
      </c>
      <c r="G263">
        <f>1+COUNTIFS(T_Avg_PPG,"&gt;"&amp;E263,T_Pos,$B263)</f>
        <v>46</v>
      </c>
      <c r="H263">
        <f>_xlfn.IFNA(VLOOKUP($A263,PredictionTable,MATCH(H$1,Analysts,0),FALSE),60)</f>
        <v>60</v>
      </c>
      <c r="I263">
        <f>_xlfn.IFNA(VLOOKUP($A263,PredictionTable,MATCH(I$1,Analysts,0),FALSE),60)</f>
        <v>60</v>
      </c>
      <c r="J263">
        <f>_xlfn.IFNA(VLOOKUP($A263,PredictionTable,MATCH(J$1,Analysts,0),FALSE),60)</f>
        <v>60</v>
      </c>
      <c r="K263">
        <f>_xlfn.IFNA(VLOOKUP($A263,PredictionTable,MATCH(K$1,Analysts,0),FALSE),60)</f>
        <v>60</v>
      </c>
      <c r="L263">
        <f>_xlfn.IFNA(VLOOKUP($A263,PredictionTable,MATCH(L$1,Analysts,0),FALSE),60)</f>
        <v>60</v>
      </c>
      <c r="M263">
        <f>_xlfn.IFNA(VLOOKUP($A263,PredictionTable,MATCH(M$1,Analysts,0),FALSE),60)</f>
        <v>60</v>
      </c>
      <c r="N263">
        <f>_xlfn.IFNA(VLOOKUP($A263,PredictionTable,MATCH(N$1,Analysts,0),FALSE),60)</f>
        <v>60</v>
      </c>
      <c r="O263">
        <f>_xlfn.IFNA(VLOOKUP($A263,PredictionTable,MATCH(O$1,Analysts,0),FALSE),60)</f>
        <v>60</v>
      </c>
      <c r="P263">
        <f>_xlfn.IFNA(VLOOKUP($A263,PredictionTable,MATCH(P$1,Analysts,0),FALSE),60)</f>
        <v>60</v>
      </c>
      <c r="V263" s="7" t="s">
        <v>589</v>
      </c>
    </row>
    <row r="264" spans="1:22" x14ac:dyDescent="0.45">
      <c r="A264" s="1" t="s">
        <v>269</v>
      </c>
      <c r="B264" s="1" t="s">
        <v>228</v>
      </c>
      <c r="C264" s="1">
        <f>INDEX(T_Performances,MATCH($A264,T_Names,0))</f>
        <v>2</v>
      </c>
      <c r="D264">
        <v>47.8</v>
      </c>
      <c r="E264" s="1">
        <f>INDEX(T_Avg_PPG,MATCH($A264,T_Names,0))</f>
        <v>4.7799999999999994</v>
      </c>
      <c r="F264">
        <f>1+COUNTIFS(T_Total,"&gt;"&amp;D264,T_Pos,$B264)</f>
        <v>41</v>
      </c>
      <c r="G264">
        <f>1+COUNTIFS(T_Avg_PPG,"&gt;"&amp;E264,T_Pos,$B264)</f>
        <v>50</v>
      </c>
      <c r="H264">
        <f>_xlfn.IFNA(VLOOKUP($A264,PredictionTable,MATCH(H$1,Analysts,0),FALSE),60)</f>
        <v>60</v>
      </c>
      <c r="I264">
        <f>_xlfn.IFNA(VLOOKUP($A264,PredictionTable,MATCH(I$1,Analysts,0),FALSE),60)</f>
        <v>60</v>
      </c>
      <c r="J264">
        <f>_xlfn.IFNA(VLOOKUP($A264,PredictionTable,MATCH(J$1,Analysts,0),FALSE),60)</f>
        <v>60</v>
      </c>
      <c r="K264">
        <f>_xlfn.IFNA(VLOOKUP($A264,PredictionTable,MATCH(K$1,Analysts,0),FALSE),60)</f>
        <v>60</v>
      </c>
      <c r="L264">
        <f>_xlfn.IFNA(VLOOKUP($A264,PredictionTable,MATCH(L$1,Analysts,0),FALSE),60)</f>
        <v>60</v>
      </c>
      <c r="M264">
        <f>_xlfn.IFNA(VLOOKUP($A264,PredictionTable,MATCH(M$1,Analysts,0),FALSE),60)</f>
        <v>60</v>
      </c>
      <c r="N264">
        <f>_xlfn.IFNA(VLOOKUP($A264,PredictionTable,MATCH(N$1,Analysts,0),FALSE),60)</f>
        <v>60</v>
      </c>
      <c r="O264">
        <f>_xlfn.IFNA(VLOOKUP($A264,PredictionTable,MATCH(O$1,Analysts,0),FALSE),60)</f>
        <v>60</v>
      </c>
      <c r="P264">
        <f>_xlfn.IFNA(VLOOKUP($A264,PredictionTable,MATCH(P$1,Analysts,0),FALSE),60)</f>
        <v>60</v>
      </c>
      <c r="V264" s="7" t="s">
        <v>589</v>
      </c>
    </row>
    <row r="265" spans="1:22" x14ac:dyDescent="0.45">
      <c r="A265" s="1" t="s">
        <v>270</v>
      </c>
      <c r="B265" s="1" t="s">
        <v>228</v>
      </c>
      <c r="C265" s="1">
        <f>INDEX(T_Performances,MATCH($A265,T_Names,0))</f>
        <v>1</v>
      </c>
      <c r="D265">
        <v>46.8</v>
      </c>
      <c r="E265" s="1">
        <f>INDEX(T_Avg_PPG,MATCH($A265,T_Names,0))</f>
        <v>5.1999999999999993</v>
      </c>
      <c r="F265">
        <f>1+COUNTIFS(T_Total,"&gt;"&amp;D265,T_Pos,$B265)</f>
        <v>42</v>
      </c>
      <c r="G265">
        <f>1+COUNTIFS(T_Avg_PPG,"&gt;"&amp;E265,T_Pos,$B265)</f>
        <v>48</v>
      </c>
      <c r="H265">
        <f>_xlfn.IFNA(VLOOKUP($A265,PredictionTable,MATCH(H$1,Analysts,0),FALSE),60)</f>
        <v>60</v>
      </c>
      <c r="I265">
        <f>_xlfn.IFNA(VLOOKUP($A265,PredictionTable,MATCH(I$1,Analysts,0),FALSE),60)</f>
        <v>60</v>
      </c>
      <c r="J265">
        <f>_xlfn.IFNA(VLOOKUP($A265,PredictionTable,MATCH(J$1,Analysts,0),FALSE),60)</f>
        <v>60</v>
      </c>
      <c r="K265">
        <f>_xlfn.IFNA(VLOOKUP($A265,PredictionTable,MATCH(K$1,Analysts,0),FALSE),60)</f>
        <v>60</v>
      </c>
      <c r="L265">
        <f>_xlfn.IFNA(VLOOKUP($A265,PredictionTable,MATCH(L$1,Analysts,0),FALSE),60)</f>
        <v>60</v>
      </c>
      <c r="M265">
        <f>_xlfn.IFNA(VLOOKUP($A265,PredictionTable,MATCH(M$1,Analysts,0),FALSE),60)</f>
        <v>60</v>
      </c>
      <c r="N265">
        <f>_xlfn.IFNA(VLOOKUP($A265,PredictionTable,MATCH(N$1,Analysts,0),FALSE),60)</f>
        <v>60</v>
      </c>
      <c r="O265">
        <f>_xlfn.IFNA(VLOOKUP($A265,PredictionTable,MATCH(O$1,Analysts,0),FALSE),60)</f>
        <v>60</v>
      </c>
      <c r="P265">
        <f>_xlfn.IFNA(VLOOKUP($A265,PredictionTable,MATCH(P$1,Analysts,0),FALSE),60)</f>
        <v>60</v>
      </c>
      <c r="V265" s="7" t="s">
        <v>589</v>
      </c>
    </row>
    <row r="266" spans="1:22" x14ac:dyDescent="0.45">
      <c r="A266" s="1" t="s">
        <v>271</v>
      </c>
      <c r="B266" s="1" t="s">
        <v>228</v>
      </c>
      <c r="C266" s="1">
        <f>INDEX(T_Performances,MATCH($A266,T_Names,0))</f>
        <v>2</v>
      </c>
      <c r="D266">
        <v>44.9</v>
      </c>
      <c r="E266" s="1">
        <f>INDEX(T_Avg_PPG,MATCH($A266,T_Names,0))</f>
        <v>5.6124999999999998</v>
      </c>
      <c r="F266">
        <f>1+COUNTIFS(T_Total,"&gt;"&amp;D266,T_Pos,$B266)</f>
        <v>43</v>
      </c>
      <c r="G266">
        <f>1+COUNTIFS(T_Avg_PPG,"&gt;"&amp;E266,T_Pos,$B266)</f>
        <v>41</v>
      </c>
      <c r="H266">
        <f>_xlfn.IFNA(VLOOKUP($A266,PredictionTable,MATCH(H$1,Analysts,0),FALSE),60)</f>
        <v>60</v>
      </c>
      <c r="I266">
        <f>_xlfn.IFNA(VLOOKUP($A266,PredictionTable,MATCH(I$1,Analysts,0),FALSE),60)</f>
        <v>60</v>
      </c>
      <c r="J266">
        <f>_xlfn.IFNA(VLOOKUP($A266,PredictionTable,MATCH(J$1,Analysts,0),FALSE),60)</f>
        <v>60</v>
      </c>
      <c r="K266">
        <f>_xlfn.IFNA(VLOOKUP($A266,PredictionTable,MATCH(K$1,Analysts,0),FALSE),60)</f>
        <v>60</v>
      </c>
      <c r="L266">
        <f>_xlfn.IFNA(VLOOKUP($A266,PredictionTable,MATCH(L$1,Analysts,0),FALSE),60)</f>
        <v>60</v>
      </c>
      <c r="M266">
        <f>_xlfn.IFNA(VLOOKUP($A266,PredictionTable,MATCH(M$1,Analysts,0),FALSE),60)</f>
        <v>60</v>
      </c>
      <c r="N266">
        <f>_xlfn.IFNA(VLOOKUP($A266,PredictionTable,MATCH(N$1,Analysts,0),FALSE),60)</f>
        <v>60</v>
      </c>
      <c r="O266">
        <f>_xlfn.IFNA(VLOOKUP($A266,PredictionTable,MATCH(O$1,Analysts,0),FALSE),60)</f>
        <v>60</v>
      </c>
      <c r="P266">
        <f>_xlfn.IFNA(VLOOKUP($A266,PredictionTable,MATCH(P$1,Analysts,0),FALSE),60)</f>
        <v>60</v>
      </c>
      <c r="V266" s="7" t="s">
        <v>589</v>
      </c>
    </row>
    <row r="267" spans="1:22" x14ac:dyDescent="0.45">
      <c r="A267" s="1" t="s">
        <v>272</v>
      </c>
      <c r="B267" s="1" t="s">
        <v>228</v>
      </c>
      <c r="C267" s="1">
        <f>INDEX(T_Performances,MATCH($A267,T_Names,0))</f>
        <v>2</v>
      </c>
      <c r="D267">
        <v>43.6</v>
      </c>
      <c r="E267" s="1">
        <f>INDEX(T_Avg_PPG,MATCH($A267,T_Names,0))</f>
        <v>6.2285714285714286</v>
      </c>
      <c r="F267">
        <f>1+COUNTIFS(T_Total,"&gt;"&amp;D267,T_Pos,$B267)</f>
        <v>44</v>
      </c>
      <c r="G267">
        <f>1+COUNTIFS(T_Avg_PPG,"&gt;"&amp;E267,T_Pos,$B267)</f>
        <v>32</v>
      </c>
      <c r="H267">
        <f>_xlfn.IFNA(VLOOKUP($A267,PredictionTable,MATCH(H$1,Analysts,0),FALSE),60)</f>
        <v>60</v>
      </c>
      <c r="I267">
        <f>_xlfn.IFNA(VLOOKUP($A267,PredictionTable,MATCH(I$1,Analysts,0),FALSE),60)</f>
        <v>60</v>
      </c>
      <c r="J267">
        <f>_xlfn.IFNA(VLOOKUP($A267,PredictionTable,MATCH(J$1,Analysts,0),FALSE),60)</f>
        <v>60</v>
      </c>
      <c r="K267">
        <f>_xlfn.IFNA(VLOOKUP($A267,PredictionTable,MATCH(K$1,Analysts,0),FALSE),60)</f>
        <v>60</v>
      </c>
      <c r="L267">
        <f>_xlfn.IFNA(VLOOKUP($A267,PredictionTable,MATCH(L$1,Analysts,0),FALSE),60)</f>
        <v>60</v>
      </c>
      <c r="M267">
        <f>_xlfn.IFNA(VLOOKUP($A267,PredictionTable,MATCH(M$1,Analysts,0),FALSE),60)</f>
        <v>60</v>
      </c>
      <c r="N267">
        <f>_xlfn.IFNA(VLOOKUP($A267,PredictionTable,MATCH(N$1,Analysts,0),FALSE),60)</f>
        <v>60</v>
      </c>
      <c r="O267">
        <f>_xlfn.IFNA(VLOOKUP($A267,PredictionTable,MATCH(O$1,Analysts,0),FALSE),60)</f>
        <v>60</v>
      </c>
      <c r="P267">
        <f>_xlfn.IFNA(VLOOKUP($A267,PredictionTable,MATCH(P$1,Analysts,0),FALSE),60)</f>
        <v>60</v>
      </c>
      <c r="V267" s="7" t="s">
        <v>589</v>
      </c>
    </row>
    <row r="268" spans="1:22" x14ac:dyDescent="0.45">
      <c r="A268" s="1" t="s">
        <v>273</v>
      </c>
      <c r="B268" s="1" t="s">
        <v>228</v>
      </c>
      <c r="C268" s="1">
        <f>INDEX(T_Performances,MATCH($A268,T_Names,0))</f>
        <v>1</v>
      </c>
      <c r="D268">
        <v>40</v>
      </c>
      <c r="E268" s="1">
        <f>INDEX(T_Avg_PPG,MATCH($A268,T_Names,0))</f>
        <v>4.4444444444444446</v>
      </c>
      <c r="F268">
        <f>1+COUNTIFS(T_Total,"&gt;"&amp;D268,T_Pos,$B268)</f>
        <v>45</v>
      </c>
      <c r="G268">
        <f>1+COUNTIFS(T_Avg_PPG,"&gt;"&amp;E268,T_Pos,$B268)</f>
        <v>56</v>
      </c>
      <c r="H268">
        <f>_xlfn.IFNA(VLOOKUP($A268,PredictionTable,MATCH(H$1,Analysts,0),FALSE),60)</f>
        <v>60</v>
      </c>
      <c r="I268">
        <f>_xlfn.IFNA(VLOOKUP($A268,PredictionTable,MATCH(I$1,Analysts,0),FALSE),60)</f>
        <v>60</v>
      </c>
      <c r="J268">
        <f>_xlfn.IFNA(VLOOKUP($A268,PredictionTable,MATCH(J$1,Analysts,0),FALSE),60)</f>
        <v>60</v>
      </c>
      <c r="K268">
        <f>_xlfn.IFNA(VLOOKUP($A268,PredictionTable,MATCH(K$1,Analysts,0),FALSE),60)</f>
        <v>60</v>
      </c>
      <c r="L268">
        <f>_xlfn.IFNA(VLOOKUP($A268,PredictionTable,MATCH(L$1,Analysts,0),FALSE),60)</f>
        <v>60</v>
      </c>
      <c r="M268">
        <f>_xlfn.IFNA(VLOOKUP($A268,PredictionTable,MATCH(M$1,Analysts,0),FALSE),60)</f>
        <v>60</v>
      </c>
      <c r="N268">
        <f>_xlfn.IFNA(VLOOKUP($A268,PredictionTable,MATCH(N$1,Analysts,0),FALSE),60)</f>
        <v>60</v>
      </c>
      <c r="O268">
        <f>_xlfn.IFNA(VLOOKUP($A268,PredictionTable,MATCH(O$1,Analysts,0),FALSE),60)</f>
        <v>60</v>
      </c>
      <c r="P268">
        <f>_xlfn.IFNA(VLOOKUP($A268,PredictionTable,MATCH(P$1,Analysts,0),FALSE),60)</f>
        <v>60</v>
      </c>
      <c r="V268" s="7" t="s">
        <v>589</v>
      </c>
    </row>
    <row r="269" spans="1:22" x14ac:dyDescent="0.45">
      <c r="A269" s="1" t="s">
        <v>274</v>
      </c>
      <c r="B269" s="1" t="s">
        <v>228</v>
      </c>
      <c r="C269" s="1">
        <f>INDEX(T_Performances,MATCH($A269,T_Names,0))</f>
        <v>1</v>
      </c>
      <c r="D269">
        <v>39.200000000000003</v>
      </c>
      <c r="E269" s="1">
        <f>INDEX(T_Avg_PPG,MATCH($A269,T_Names,0))</f>
        <v>3.9200000000000004</v>
      </c>
      <c r="F269">
        <f>1+COUNTIFS(T_Total,"&gt;"&amp;D269,T_Pos,$B269)</f>
        <v>46</v>
      </c>
      <c r="G269">
        <f>1+COUNTIFS(T_Avg_PPG,"&gt;"&amp;E269,T_Pos,$B269)</f>
        <v>63</v>
      </c>
      <c r="H269">
        <f>_xlfn.IFNA(VLOOKUP($A269,PredictionTable,MATCH(H$1,Analysts,0),FALSE),60)</f>
        <v>60</v>
      </c>
      <c r="I269">
        <f>_xlfn.IFNA(VLOOKUP($A269,PredictionTable,MATCH(I$1,Analysts,0),FALSE),60)</f>
        <v>60</v>
      </c>
      <c r="J269">
        <f>_xlfn.IFNA(VLOOKUP($A269,PredictionTable,MATCH(J$1,Analysts,0),FALSE),60)</f>
        <v>60</v>
      </c>
      <c r="K269">
        <f>_xlfn.IFNA(VLOOKUP($A269,PredictionTable,MATCH(K$1,Analysts,0),FALSE),60)</f>
        <v>60</v>
      </c>
      <c r="L269">
        <f>_xlfn.IFNA(VLOOKUP($A269,PredictionTable,MATCH(L$1,Analysts,0),FALSE),60)</f>
        <v>60</v>
      </c>
      <c r="M269">
        <f>_xlfn.IFNA(VLOOKUP($A269,PredictionTable,MATCH(M$1,Analysts,0),FALSE),60)</f>
        <v>60</v>
      </c>
      <c r="N269">
        <f>_xlfn.IFNA(VLOOKUP($A269,PredictionTable,MATCH(N$1,Analysts,0),FALSE),60)</f>
        <v>60</v>
      </c>
      <c r="O269">
        <f>_xlfn.IFNA(VLOOKUP($A269,PredictionTable,MATCH(O$1,Analysts,0),FALSE),60)</f>
        <v>60</v>
      </c>
      <c r="P269">
        <f>_xlfn.IFNA(VLOOKUP($A269,PredictionTable,MATCH(P$1,Analysts,0),FALSE),60)</f>
        <v>60</v>
      </c>
      <c r="V269" s="7" t="s">
        <v>589</v>
      </c>
    </row>
    <row r="270" spans="1:22" x14ac:dyDescent="0.45">
      <c r="A270" s="1" t="s">
        <v>275</v>
      </c>
      <c r="B270" s="1" t="s">
        <v>228</v>
      </c>
      <c r="C270" s="1">
        <f>INDEX(T_Performances,MATCH($A270,T_Names,0))</f>
        <v>0</v>
      </c>
      <c r="D270">
        <v>36.5</v>
      </c>
      <c r="E270" s="1">
        <f>INDEX(T_Avg_PPG,MATCH($A270,T_Names,0))</f>
        <v>4.0555555555555554</v>
      </c>
      <c r="F270">
        <f>1+COUNTIFS(T_Total,"&gt;"&amp;D270,T_Pos,$B270)</f>
        <v>48</v>
      </c>
      <c r="G270">
        <f>1+COUNTIFS(T_Avg_PPG,"&gt;"&amp;E270,T_Pos,$B270)</f>
        <v>61</v>
      </c>
      <c r="H270">
        <f>_xlfn.IFNA(VLOOKUP($A270,PredictionTable,MATCH(H$1,Analysts,0),FALSE),60)</f>
        <v>60</v>
      </c>
      <c r="I270">
        <f>_xlfn.IFNA(VLOOKUP($A270,PredictionTable,MATCH(I$1,Analysts,0),FALSE),60)</f>
        <v>60</v>
      </c>
      <c r="J270">
        <f>_xlfn.IFNA(VLOOKUP($A270,PredictionTable,MATCH(J$1,Analysts,0),FALSE),60)</f>
        <v>60</v>
      </c>
      <c r="K270">
        <f>_xlfn.IFNA(VLOOKUP($A270,PredictionTable,MATCH(K$1,Analysts,0),FALSE),60)</f>
        <v>60</v>
      </c>
      <c r="L270">
        <f>_xlfn.IFNA(VLOOKUP($A270,PredictionTable,MATCH(L$1,Analysts,0),FALSE),60)</f>
        <v>60</v>
      </c>
      <c r="M270">
        <f>_xlfn.IFNA(VLOOKUP($A270,PredictionTable,MATCH(M$1,Analysts,0),FALSE),60)</f>
        <v>60</v>
      </c>
      <c r="N270">
        <f>_xlfn.IFNA(VLOOKUP($A270,PredictionTable,MATCH(N$1,Analysts,0),FALSE),60)</f>
        <v>60</v>
      </c>
      <c r="O270">
        <f>_xlfn.IFNA(VLOOKUP($A270,PredictionTable,MATCH(O$1,Analysts,0),FALSE),60)</f>
        <v>60</v>
      </c>
      <c r="P270">
        <f>_xlfn.IFNA(VLOOKUP($A270,PredictionTable,MATCH(P$1,Analysts,0),FALSE),60)</f>
        <v>60</v>
      </c>
      <c r="V270" s="7" t="s">
        <v>589</v>
      </c>
    </row>
    <row r="271" spans="1:22" x14ac:dyDescent="0.45">
      <c r="A271" s="1" t="s">
        <v>276</v>
      </c>
      <c r="B271" s="1" t="s">
        <v>228</v>
      </c>
      <c r="C271" s="1">
        <f>INDEX(T_Performances,MATCH($A271,T_Names,0))</f>
        <v>1</v>
      </c>
      <c r="D271">
        <v>35.700000000000003</v>
      </c>
      <c r="E271" s="1">
        <f>INDEX(T_Avg_PPG,MATCH($A271,T_Names,0))</f>
        <v>3.2454545454545456</v>
      </c>
      <c r="F271">
        <f>1+COUNTIFS(T_Total,"&gt;"&amp;D271,T_Pos,$B271)</f>
        <v>49</v>
      </c>
      <c r="G271">
        <f>1+COUNTIFS(T_Avg_PPG,"&gt;"&amp;E271,T_Pos,$B271)</f>
        <v>78</v>
      </c>
      <c r="H271">
        <f>_xlfn.IFNA(VLOOKUP($A271,PredictionTable,MATCH(H$1,Analysts,0),FALSE),60)</f>
        <v>60</v>
      </c>
      <c r="I271">
        <f>_xlfn.IFNA(VLOOKUP($A271,PredictionTable,MATCH(I$1,Analysts,0),FALSE),60)</f>
        <v>60</v>
      </c>
      <c r="J271">
        <f>_xlfn.IFNA(VLOOKUP($A271,PredictionTable,MATCH(J$1,Analysts,0),FALSE),60)</f>
        <v>60</v>
      </c>
      <c r="K271">
        <f>_xlfn.IFNA(VLOOKUP($A271,PredictionTable,MATCH(K$1,Analysts,0),FALSE),60)</f>
        <v>60</v>
      </c>
      <c r="L271">
        <f>_xlfn.IFNA(VLOOKUP($A271,PredictionTable,MATCH(L$1,Analysts,0),FALSE),60)</f>
        <v>60</v>
      </c>
      <c r="M271">
        <f>_xlfn.IFNA(VLOOKUP($A271,PredictionTable,MATCH(M$1,Analysts,0),FALSE),60)</f>
        <v>60</v>
      </c>
      <c r="N271">
        <f>_xlfn.IFNA(VLOOKUP($A271,PredictionTable,MATCH(N$1,Analysts,0),FALSE),60)</f>
        <v>60</v>
      </c>
      <c r="O271">
        <f>_xlfn.IFNA(VLOOKUP($A271,PredictionTable,MATCH(O$1,Analysts,0),FALSE),60)</f>
        <v>60</v>
      </c>
      <c r="P271">
        <f>_xlfn.IFNA(VLOOKUP($A271,PredictionTable,MATCH(P$1,Analysts,0),FALSE),60)</f>
        <v>60</v>
      </c>
      <c r="V271" s="7" t="s">
        <v>589</v>
      </c>
    </row>
    <row r="272" spans="1:22" x14ac:dyDescent="0.45">
      <c r="A272" s="1" t="s">
        <v>277</v>
      </c>
      <c r="B272" s="1" t="s">
        <v>228</v>
      </c>
      <c r="C272" s="1">
        <f>INDEX(T_Performances,MATCH($A272,T_Names,0))</f>
        <v>0</v>
      </c>
      <c r="D272">
        <v>35.5</v>
      </c>
      <c r="E272" s="1">
        <f>INDEX(T_Avg_PPG,MATCH($A272,T_Names,0))</f>
        <v>3.55</v>
      </c>
      <c r="F272">
        <f>1+COUNTIFS(T_Total,"&gt;"&amp;D272,T_Pos,$B272)</f>
        <v>50</v>
      </c>
      <c r="G272">
        <f>1+COUNTIFS(T_Avg_PPG,"&gt;"&amp;E272,T_Pos,$B272)</f>
        <v>72</v>
      </c>
      <c r="H272">
        <f>_xlfn.IFNA(VLOOKUP($A272,PredictionTable,MATCH(H$1,Analysts,0),FALSE),60)</f>
        <v>60</v>
      </c>
      <c r="I272">
        <f>_xlfn.IFNA(VLOOKUP($A272,PredictionTable,MATCH(I$1,Analysts,0),FALSE),60)</f>
        <v>60</v>
      </c>
      <c r="J272">
        <f>_xlfn.IFNA(VLOOKUP($A272,PredictionTable,MATCH(J$1,Analysts,0),FALSE),60)</f>
        <v>60</v>
      </c>
      <c r="K272">
        <f>_xlfn.IFNA(VLOOKUP($A272,PredictionTable,MATCH(K$1,Analysts,0),FALSE),60)</f>
        <v>60</v>
      </c>
      <c r="L272">
        <f>_xlfn.IFNA(VLOOKUP($A272,PredictionTable,MATCH(L$1,Analysts,0),FALSE),60)</f>
        <v>60</v>
      </c>
      <c r="M272">
        <f>_xlfn.IFNA(VLOOKUP($A272,PredictionTable,MATCH(M$1,Analysts,0),FALSE),60)</f>
        <v>60</v>
      </c>
      <c r="N272">
        <f>_xlfn.IFNA(VLOOKUP($A272,PredictionTable,MATCH(N$1,Analysts,0),FALSE),60)</f>
        <v>60</v>
      </c>
      <c r="O272">
        <f>_xlfn.IFNA(VLOOKUP($A272,PredictionTable,MATCH(O$1,Analysts,0),FALSE),60)</f>
        <v>60</v>
      </c>
      <c r="P272">
        <f>_xlfn.IFNA(VLOOKUP($A272,PredictionTable,MATCH(P$1,Analysts,0),FALSE),60)</f>
        <v>60</v>
      </c>
      <c r="V272" s="7" t="s">
        <v>589</v>
      </c>
    </row>
    <row r="273" spans="1:22" x14ac:dyDescent="0.45">
      <c r="A273" s="1" t="s">
        <v>278</v>
      </c>
      <c r="B273" s="1" t="s">
        <v>228</v>
      </c>
      <c r="C273" s="1">
        <f>INDEX(T_Performances,MATCH($A273,T_Names,0))</f>
        <v>2</v>
      </c>
      <c r="D273">
        <v>29</v>
      </c>
      <c r="E273" s="1">
        <f>INDEX(T_Avg_PPG,MATCH($A273,T_Names,0))</f>
        <v>5.8</v>
      </c>
      <c r="F273">
        <f>1+COUNTIFS(T_Total,"&gt;"&amp;D273,T_Pos,$B273)</f>
        <v>51</v>
      </c>
      <c r="G273">
        <f>1+COUNTIFS(T_Avg_PPG,"&gt;"&amp;E273,T_Pos,$B273)</f>
        <v>36</v>
      </c>
      <c r="H273">
        <f>_xlfn.IFNA(VLOOKUP($A273,PredictionTable,MATCH(H$1,Analysts,0),FALSE),60)</f>
        <v>60</v>
      </c>
      <c r="I273">
        <f>_xlfn.IFNA(VLOOKUP($A273,PredictionTable,MATCH(I$1,Analysts,0),FALSE),60)</f>
        <v>60</v>
      </c>
      <c r="J273">
        <f>_xlfn.IFNA(VLOOKUP($A273,PredictionTable,MATCH(J$1,Analysts,0),FALSE),60)</f>
        <v>60</v>
      </c>
      <c r="K273">
        <f>_xlfn.IFNA(VLOOKUP($A273,PredictionTable,MATCH(K$1,Analysts,0),FALSE),60)</f>
        <v>60</v>
      </c>
      <c r="L273">
        <f>_xlfn.IFNA(VLOOKUP($A273,PredictionTable,MATCH(L$1,Analysts,0),FALSE),60)</f>
        <v>60</v>
      </c>
      <c r="M273">
        <f>_xlfn.IFNA(VLOOKUP($A273,PredictionTable,MATCH(M$1,Analysts,0),FALSE),60)</f>
        <v>60</v>
      </c>
      <c r="N273">
        <f>_xlfn.IFNA(VLOOKUP($A273,PredictionTable,MATCH(N$1,Analysts,0),FALSE),60)</f>
        <v>60</v>
      </c>
      <c r="O273">
        <f>_xlfn.IFNA(VLOOKUP($A273,PredictionTable,MATCH(O$1,Analysts,0),FALSE),60)</f>
        <v>60</v>
      </c>
      <c r="P273">
        <f>_xlfn.IFNA(VLOOKUP($A273,PredictionTable,MATCH(P$1,Analysts,0),FALSE),60)</f>
        <v>60</v>
      </c>
      <c r="V273" s="7" t="s">
        <v>589</v>
      </c>
    </row>
    <row r="274" spans="1:22" x14ac:dyDescent="0.45">
      <c r="A274" s="1" t="s">
        <v>279</v>
      </c>
      <c r="B274" s="1" t="s">
        <v>228</v>
      </c>
      <c r="C274" s="1">
        <f>INDEX(T_Performances,MATCH($A274,T_Names,0))</f>
        <v>1</v>
      </c>
      <c r="D274">
        <v>29</v>
      </c>
      <c r="E274" s="1">
        <f>INDEX(T_Avg_PPG,MATCH($A274,T_Names,0))</f>
        <v>4.1428571428571432</v>
      </c>
      <c r="F274">
        <f>1+COUNTIFS(T_Total,"&gt;"&amp;D274,T_Pos,$B274)</f>
        <v>51</v>
      </c>
      <c r="G274">
        <f>1+COUNTIFS(T_Avg_PPG,"&gt;"&amp;E274,T_Pos,$B274)</f>
        <v>60</v>
      </c>
      <c r="H274">
        <f>_xlfn.IFNA(VLOOKUP($A274,PredictionTable,MATCH(H$1,Analysts,0),FALSE),60)</f>
        <v>60</v>
      </c>
      <c r="I274">
        <f>_xlfn.IFNA(VLOOKUP($A274,PredictionTable,MATCH(I$1,Analysts,0),FALSE),60)</f>
        <v>60</v>
      </c>
      <c r="J274">
        <f>_xlfn.IFNA(VLOOKUP($A274,PredictionTable,MATCH(J$1,Analysts,0),FALSE),60)</f>
        <v>60</v>
      </c>
      <c r="K274">
        <f>_xlfn.IFNA(VLOOKUP($A274,PredictionTable,MATCH(K$1,Analysts,0),FALSE),60)</f>
        <v>60</v>
      </c>
      <c r="L274">
        <f>_xlfn.IFNA(VLOOKUP($A274,PredictionTable,MATCH(L$1,Analysts,0),FALSE),60)</f>
        <v>60</v>
      </c>
      <c r="M274">
        <f>_xlfn.IFNA(VLOOKUP($A274,PredictionTable,MATCH(M$1,Analysts,0),FALSE),60)</f>
        <v>60</v>
      </c>
      <c r="N274">
        <f>_xlfn.IFNA(VLOOKUP($A274,PredictionTable,MATCH(N$1,Analysts,0),FALSE),60)</f>
        <v>60</v>
      </c>
      <c r="O274">
        <f>_xlfn.IFNA(VLOOKUP($A274,PredictionTable,MATCH(O$1,Analysts,0),FALSE),60)</f>
        <v>60</v>
      </c>
      <c r="P274">
        <f>_xlfn.IFNA(VLOOKUP($A274,PredictionTable,MATCH(P$1,Analysts,0),FALSE),60)</f>
        <v>60</v>
      </c>
      <c r="V274" s="7" t="s">
        <v>589</v>
      </c>
    </row>
    <row r="275" spans="1:22" x14ac:dyDescent="0.45">
      <c r="A275" s="1" t="s">
        <v>280</v>
      </c>
      <c r="B275" s="1" t="s">
        <v>228</v>
      </c>
      <c r="C275" s="1">
        <f>INDEX(T_Performances,MATCH($A275,T_Names,0))</f>
        <v>0</v>
      </c>
      <c r="D275">
        <v>28.5</v>
      </c>
      <c r="E275" s="1">
        <f>INDEX(T_Avg_PPG,MATCH($A275,T_Names,0))</f>
        <v>4.75</v>
      </c>
      <c r="F275">
        <f>1+COUNTIFS(T_Total,"&gt;"&amp;D275,T_Pos,$B275)</f>
        <v>53</v>
      </c>
      <c r="G275">
        <f>1+COUNTIFS(T_Avg_PPG,"&gt;"&amp;E275,T_Pos,$B275)</f>
        <v>52</v>
      </c>
      <c r="H275">
        <f>_xlfn.IFNA(VLOOKUP($A275,PredictionTable,MATCH(H$1,Analysts,0),FALSE),60)</f>
        <v>60</v>
      </c>
      <c r="I275">
        <f>_xlfn.IFNA(VLOOKUP($A275,PredictionTable,MATCH(I$1,Analysts,0),FALSE),60)</f>
        <v>60</v>
      </c>
      <c r="J275">
        <f>_xlfn.IFNA(VLOOKUP($A275,PredictionTable,MATCH(J$1,Analysts,0),FALSE),60)</f>
        <v>60</v>
      </c>
      <c r="K275">
        <f>_xlfn.IFNA(VLOOKUP($A275,PredictionTable,MATCH(K$1,Analysts,0),FALSE),60)</f>
        <v>60</v>
      </c>
      <c r="L275">
        <f>_xlfn.IFNA(VLOOKUP($A275,PredictionTable,MATCH(L$1,Analysts,0),FALSE),60)</f>
        <v>60</v>
      </c>
      <c r="M275">
        <f>_xlfn.IFNA(VLOOKUP($A275,PredictionTable,MATCH(M$1,Analysts,0),FALSE),60)</f>
        <v>60</v>
      </c>
      <c r="N275">
        <f>_xlfn.IFNA(VLOOKUP($A275,PredictionTable,MATCH(N$1,Analysts,0),FALSE),60)</f>
        <v>60</v>
      </c>
      <c r="O275">
        <f>_xlfn.IFNA(VLOOKUP($A275,PredictionTable,MATCH(O$1,Analysts,0),FALSE),60)</f>
        <v>60</v>
      </c>
      <c r="P275">
        <f>_xlfn.IFNA(VLOOKUP($A275,PredictionTable,MATCH(P$1,Analysts,0),FALSE),60)</f>
        <v>60</v>
      </c>
      <c r="V275" s="7" t="s">
        <v>589</v>
      </c>
    </row>
    <row r="276" spans="1:22" x14ac:dyDescent="0.45">
      <c r="A276" s="1" t="s">
        <v>281</v>
      </c>
      <c r="B276" s="1" t="s">
        <v>228</v>
      </c>
      <c r="C276" s="1">
        <f>INDEX(T_Performances,MATCH($A276,T_Names,0))</f>
        <v>0</v>
      </c>
      <c r="D276">
        <v>26.8</v>
      </c>
      <c r="E276" s="1">
        <f>INDEX(T_Avg_PPG,MATCH($A276,T_Names,0))</f>
        <v>4.4666666666666668</v>
      </c>
      <c r="F276">
        <f>1+COUNTIFS(T_Total,"&gt;"&amp;D276,T_Pos,$B276)</f>
        <v>54</v>
      </c>
      <c r="G276">
        <f>1+COUNTIFS(T_Avg_PPG,"&gt;"&amp;E276,T_Pos,$B276)</f>
        <v>54</v>
      </c>
      <c r="H276">
        <f>_xlfn.IFNA(VLOOKUP($A276,PredictionTable,MATCH(H$1,Analysts,0),FALSE),60)</f>
        <v>60</v>
      </c>
      <c r="I276">
        <f>_xlfn.IFNA(VLOOKUP($A276,PredictionTable,MATCH(I$1,Analysts,0),FALSE),60)</f>
        <v>60</v>
      </c>
      <c r="J276">
        <f>_xlfn.IFNA(VLOOKUP($A276,PredictionTable,MATCH(J$1,Analysts,0),FALSE),60)</f>
        <v>60</v>
      </c>
      <c r="K276">
        <f>_xlfn.IFNA(VLOOKUP($A276,PredictionTable,MATCH(K$1,Analysts,0),FALSE),60)</f>
        <v>60</v>
      </c>
      <c r="L276">
        <f>_xlfn.IFNA(VLOOKUP($A276,PredictionTable,MATCH(L$1,Analysts,0),FALSE),60)</f>
        <v>60</v>
      </c>
      <c r="M276">
        <f>_xlfn.IFNA(VLOOKUP($A276,PredictionTable,MATCH(M$1,Analysts,0),FALSE),60)</f>
        <v>60</v>
      </c>
      <c r="N276">
        <f>_xlfn.IFNA(VLOOKUP($A276,PredictionTable,MATCH(N$1,Analysts,0),FALSE),60)</f>
        <v>60</v>
      </c>
      <c r="O276">
        <f>_xlfn.IFNA(VLOOKUP($A276,PredictionTable,MATCH(O$1,Analysts,0),FALSE),60)</f>
        <v>60</v>
      </c>
      <c r="P276">
        <f>_xlfn.IFNA(VLOOKUP($A276,PredictionTable,MATCH(P$1,Analysts,0),FALSE),60)</f>
        <v>60</v>
      </c>
      <c r="V276" s="7" t="s">
        <v>589</v>
      </c>
    </row>
    <row r="277" spans="1:22" x14ac:dyDescent="0.45">
      <c r="A277" s="1" t="s">
        <v>282</v>
      </c>
      <c r="B277" s="1" t="s">
        <v>228</v>
      </c>
      <c r="C277" s="1">
        <f>INDEX(T_Performances,MATCH($A277,T_Names,0))</f>
        <v>1</v>
      </c>
      <c r="D277">
        <v>26.8</v>
      </c>
      <c r="E277" s="1">
        <f>INDEX(T_Avg_PPG,MATCH($A277,T_Names,0))</f>
        <v>3.8285714285714287</v>
      </c>
      <c r="F277">
        <f>1+COUNTIFS(T_Total,"&gt;"&amp;D277,T_Pos,$B277)</f>
        <v>54</v>
      </c>
      <c r="G277">
        <f>1+COUNTIFS(T_Avg_PPG,"&gt;"&amp;E277,T_Pos,$B277)</f>
        <v>66</v>
      </c>
      <c r="H277">
        <f>_xlfn.IFNA(VLOOKUP($A277,PredictionTable,MATCH(H$1,Analysts,0),FALSE),60)</f>
        <v>60</v>
      </c>
      <c r="I277">
        <f>_xlfn.IFNA(VLOOKUP($A277,PredictionTable,MATCH(I$1,Analysts,0),FALSE),60)</f>
        <v>60</v>
      </c>
      <c r="J277">
        <f>_xlfn.IFNA(VLOOKUP($A277,PredictionTable,MATCH(J$1,Analysts,0),FALSE),60)</f>
        <v>60</v>
      </c>
      <c r="K277">
        <f>_xlfn.IFNA(VLOOKUP($A277,PredictionTable,MATCH(K$1,Analysts,0),FALSE),60)</f>
        <v>60</v>
      </c>
      <c r="L277">
        <f>_xlfn.IFNA(VLOOKUP($A277,PredictionTable,MATCH(L$1,Analysts,0),FALSE),60)</f>
        <v>60</v>
      </c>
      <c r="M277">
        <f>_xlfn.IFNA(VLOOKUP($A277,PredictionTable,MATCH(M$1,Analysts,0),FALSE),60)</f>
        <v>60</v>
      </c>
      <c r="N277">
        <f>_xlfn.IFNA(VLOOKUP($A277,PredictionTable,MATCH(N$1,Analysts,0),FALSE),60)</f>
        <v>60</v>
      </c>
      <c r="O277">
        <f>_xlfn.IFNA(VLOOKUP($A277,PredictionTable,MATCH(O$1,Analysts,0),FALSE),60)</f>
        <v>60</v>
      </c>
      <c r="P277">
        <f>_xlfn.IFNA(VLOOKUP($A277,PredictionTable,MATCH(P$1,Analysts,0),FALSE),60)</f>
        <v>60</v>
      </c>
      <c r="V277" s="7" t="s">
        <v>589</v>
      </c>
    </row>
    <row r="278" spans="1:22" x14ac:dyDescent="0.45">
      <c r="A278" s="1" t="s">
        <v>283</v>
      </c>
      <c r="B278" s="1" t="s">
        <v>228</v>
      </c>
      <c r="C278" s="1">
        <f>INDEX(T_Performances,MATCH($A278,T_Names,0))</f>
        <v>1</v>
      </c>
      <c r="D278">
        <v>26.7</v>
      </c>
      <c r="E278" s="1">
        <f>INDEX(T_Avg_PPG,MATCH($A278,T_Names,0))</f>
        <v>4.45</v>
      </c>
      <c r="F278">
        <f>1+COUNTIFS(T_Total,"&gt;"&amp;D278,T_Pos,$B278)</f>
        <v>56</v>
      </c>
      <c r="G278">
        <f>1+COUNTIFS(T_Avg_PPG,"&gt;"&amp;E278,T_Pos,$B278)</f>
        <v>55</v>
      </c>
      <c r="H278">
        <f>_xlfn.IFNA(VLOOKUP($A278,PredictionTable,MATCH(H$1,Analysts,0),FALSE),60)</f>
        <v>60</v>
      </c>
      <c r="I278">
        <f>_xlfn.IFNA(VLOOKUP($A278,PredictionTable,MATCH(I$1,Analysts,0),FALSE),60)</f>
        <v>60</v>
      </c>
      <c r="J278">
        <f>_xlfn.IFNA(VLOOKUP($A278,PredictionTable,MATCH(J$1,Analysts,0),FALSE),60)</f>
        <v>60</v>
      </c>
      <c r="K278">
        <f>_xlfn.IFNA(VLOOKUP($A278,PredictionTable,MATCH(K$1,Analysts,0),FALSE),60)</f>
        <v>60</v>
      </c>
      <c r="L278">
        <f>_xlfn.IFNA(VLOOKUP($A278,PredictionTable,MATCH(L$1,Analysts,0),FALSE),60)</f>
        <v>60</v>
      </c>
      <c r="M278">
        <f>_xlfn.IFNA(VLOOKUP($A278,PredictionTable,MATCH(M$1,Analysts,0),FALSE),60)</f>
        <v>60</v>
      </c>
      <c r="N278">
        <f>_xlfn.IFNA(VLOOKUP($A278,PredictionTable,MATCH(N$1,Analysts,0),FALSE),60)</f>
        <v>60</v>
      </c>
      <c r="O278">
        <f>_xlfn.IFNA(VLOOKUP($A278,PredictionTable,MATCH(O$1,Analysts,0),FALSE),60)</f>
        <v>60</v>
      </c>
      <c r="P278">
        <f>_xlfn.IFNA(VLOOKUP($A278,PredictionTable,MATCH(P$1,Analysts,0),FALSE),60)</f>
        <v>60</v>
      </c>
      <c r="V278" s="7" t="s">
        <v>589</v>
      </c>
    </row>
    <row r="279" spans="1:22" x14ac:dyDescent="0.45">
      <c r="A279" s="1" t="s">
        <v>284</v>
      </c>
      <c r="B279" s="1" t="s">
        <v>228</v>
      </c>
      <c r="C279" s="1">
        <f>INDEX(T_Performances,MATCH($A279,T_Names,0))</f>
        <v>1</v>
      </c>
      <c r="D279">
        <v>26.5</v>
      </c>
      <c r="E279" s="1">
        <f>INDEX(T_Avg_PPG,MATCH($A279,T_Names,0))</f>
        <v>3.7857142857142856</v>
      </c>
      <c r="F279">
        <f>1+COUNTIFS(T_Total,"&gt;"&amp;D279,T_Pos,$B279)</f>
        <v>57</v>
      </c>
      <c r="G279">
        <f>1+COUNTIFS(T_Avg_PPG,"&gt;"&amp;E279,T_Pos,$B279)</f>
        <v>67</v>
      </c>
      <c r="H279">
        <f>_xlfn.IFNA(VLOOKUP($A279,PredictionTable,MATCH(H$1,Analysts,0),FALSE),60)</f>
        <v>60</v>
      </c>
      <c r="I279">
        <f>_xlfn.IFNA(VLOOKUP($A279,PredictionTable,MATCH(I$1,Analysts,0),FALSE),60)</f>
        <v>60</v>
      </c>
      <c r="J279">
        <f>_xlfn.IFNA(VLOOKUP($A279,PredictionTable,MATCH(J$1,Analysts,0),FALSE),60)</f>
        <v>60</v>
      </c>
      <c r="K279">
        <f>_xlfn.IFNA(VLOOKUP($A279,PredictionTable,MATCH(K$1,Analysts,0),FALSE),60)</f>
        <v>60</v>
      </c>
      <c r="L279">
        <f>_xlfn.IFNA(VLOOKUP($A279,PredictionTable,MATCH(L$1,Analysts,0),FALSE),60)</f>
        <v>60</v>
      </c>
      <c r="M279">
        <f>_xlfn.IFNA(VLOOKUP($A279,PredictionTable,MATCH(M$1,Analysts,0),FALSE),60)</f>
        <v>60</v>
      </c>
      <c r="N279">
        <f>_xlfn.IFNA(VLOOKUP($A279,PredictionTable,MATCH(N$1,Analysts,0),FALSE),60)</f>
        <v>60</v>
      </c>
      <c r="O279">
        <f>_xlfn.IFNA(VLOOKUP($A279,PredictionTable,MATCH(O$1,Analysts,0),FALSE),60)</f>
        <v>60</v>
      </c>
      <c r="P279">
        <f>_xlfn.IFNA(VLOOKUP($A279,PredictionTable,MATCH(P$1,Analysts,0),FALSE),60)</f>
        <v>60</v>
      </c>
      <c r="V279" s="7" t="s">
        <v>589</v>
      </c>
    </row>
    <row r="280" spans="1:22" x14ac:dyDescent="0.45">
      <c r="A280" s="1" t="s">
        <v>285</v>
      </c>
      <c r="B280" s="1" t="s">
        <v>228</v>
      </c>
      <c r="C280" s="1">
        <f>INDEX(T_Performances,MATCH($A280,T_Names,0))</f>
        <v>1</v>
      </c>
      <c r="D280">
        <v>26.1</v>
      </c>
      <c r="E280" s="1">
        <f>INDEX(T_Avg_PPG,MATCH($A280,T_Names,0))</f>
        <v>3.2625000000000002</v>
      </c>
      <c r="F280">
        <f>1+COUNTIFS(T_Total,"&gt;"&amp;D280,T_Pos,$B280)</f>
        <v>58</v>
      </c>
      <c r="G280">
        <f>1+COUNTIFS(T_Avg_PPG,"&gt;"&amp;E280,T_Pos,$B280)</f>
        <v>76</v>
      </c>
      <c r="H280">
        <f>_xlfn.IFNA(VLOOKUP($A280,PredictionTable,MATCH(H$1,Analysts,0),FALSE),60)</f>
        <v>60</v>
      </c>
      <c r="I280">
        <f>_xlfn.IFNA(VLOOKUP($A280,PredictionTable,MATCH(I$1,Analysts,0),FALSE),60)</f>
        <v>60</v>
      </c>
      <c r="J280">
        <f>_xlfn.IFNA(VLOOKUP($A280,PredictionTable,MATCH(J$1,Analysts,0),FALSE),60)</f>
        <v>60</v>
      </c>
      <c r="K280">
        <f>_xlfn.IFNA(VLOOKUP($A280,PredictionTable,MATCH(K$1,Analysts,0),FALSE),60)</f>
        <v>60</v>
      </c>
      <c r="L280">
        <f>_xlfn.IFNA(VLOOKUP($A280,PredictionTable,MATCH(L$1,Analysts,0),FALSE),60)</f>
        <v>60</v>
      </c>
      <c r="M280">
        <f>_xlfn.IFNA(VLOOKUP($A280,PredictionTable,MATCH(M$1,Analysts,0),FALSE),60)</f>
        <v>60</v>
      </c>
      <c r="N280">
        <f>_xlfn.IFNA(VLOOKUP($A280,PredictionTable,MATCH(N$1,Analysts,0),FALSE),60)</f>
        <v>60</v>
      </c>
      <c r="O280">
        <f>_xlfn.IFNA(VLOOKUP($A280,PredictionTable,MATCH(O$1,Analysts,0),FALSE),60)</f>
        <v>60</v>
      </c>
      <c r="P280">
        <f>_xlfn.IFNA(VLOOKUP($A280,PredictionTable,MATCH(P$1,Analysts,0),FALSE),60)</f>
        <v>60</v>
      </c>
      <c r="V280" s="7" t="s">
        <v>589</v>
      </c>
    </row>
    <row r="281" spans="1:22" x14ac:dyDescent="0.45">
      <c r="A281" s="1" t="s">
        <v>286</v>
      </c>
      <c r="B281" s="1" t="s">
        <v>228</v>
      </c>
      <c r="C281" s="1">
        <f>INDEX(T_Performances,MATCH($A281,T_Names,0))</f>
        <v>0</v>
      </c>
      <c r="D281">
        <v>25.8</v>
      </c>
      <c r="E281" s="1">
        <f>INDEX(T_Avg_PPG,MATCH($A281,T_Names,0))</f>
        <v>3.6857142857142859</v>
      </c>
      <c r="F281">
        <f>1+COUNTIFS(T_Total,"&gt;"&amp;D281,T_Pos,$B281)</f>
        <v>59</v>
      </c>
      <c r="G281">
        <f>1+COUNTIFS(T_Avg_PPG,"&gt;"&amp;E281,T_Pos,$B281)</f>
        <v>69</v>
      </c>
      <c r="H281">
        <f>_xlfn.IFNA(VLOOKUP($A281,PredictionTable,MATCH(H$1,Analysts,0),FALSE),60)</f>
        <v>60</v>
      </c>
      <c r="I281">
        <f>_xlfn.IFNA(VLOOKUP($A281,PredictionTable,MATCH(I$1,Analysts,0),FALSE),60)</f>
        <v>60</v>
      </c>
      <c r="J281">
        <f>_xlfn.IFNA(VLOOKUP($A281,PredictionTable,MATCH(J$1,Analysts,0),FALSE),60)</f>
        <v>60</v>
      </c>
      <c r="K281">
        <f>_xlfn.IFNA(VLOOKUP($A281,PredictionTable,MATCH(K$1,Analysts,0),FALSE),60)</f>
        <v>60</v>
      </c>
      <c r="L281">
        <f>_xlfn.IFNA(VLOOKUP($A281,PredictionTable,MATCH(L$1,Analysts,0),FALSE),60)</f>
        <v>60</v>
      </c>
      <c r="M281">
        <f>_xlfn.IFNA(VLOOKUP($A281,PredictionTable,MATCH(M$1,Analysts,0),FALSE),60)</f>
        <v>60</v>
      </c>
      <c r="N281">
        <f>_xlfn.IFNA(VLOOKUP($A281,PredictionTable,MATCH(N$1,Analysts,0),FALSE),60)</f>
        <v>60</v>
      </c>
      <c r="O281">
        <f>_xlfn.IFNA(VLOOKUP($A281,PredictionTable,MATCH(O$1,Analysts,0),FALSE),60)</f>
        <v>60</v>
      </c>
      <c r="P281">
        <f>_xlfn.IFNA(VLOOKUP($A281,PredictionTable,MATCH(P$1,Analysts,0),FALSE),60)</f>
        <v>60</v>
      </c>
      <c r="V281" s="7" t="s">
        <v>589</v>
      </c>
    </row>
    <row r="282" spans="1:22" x14ac:dyDescent="0.45">
      <c r="A282" s="1" t="s">
        <v>287</v>
      </c>
      <c r="B282" s="1" t="s">
        <v>228</v>
      </c>
      <c r="C282" s="1">
        <f>INDEX(T_Performances,MATCH($A282,T_Names,0))</f>
        <v>0</v>
      </c>
      <c r="D282">
        <v>25.2</v>
      </c>
      <c r="E282" s="1">
        <f>INDEX(T_Avg_PPG,MATCH($A282,T_Names,0))</f>
        <v>3.6</v>
      </c>
      <c r="F282">
        <f>1+COUNTIFS(T_Total,"&gt;"&amp;D282,T_Pos,$B282)</f>
        <v>60</v>
      </c>
      <c r="G282">
        <f>1+COUNTIFS(T_Avg_PPG,"&gt;"&amp;E282,T_Pos,$B282)</f>
        <v>70</v>
      </c>
      <c r="H282">
        <f>_xlfn.IFNA(VLOOKUP($A282,PredictionTable,MATCH(H$1,Analysts,0),FALSE),60)</f>
        <v>60</v>
      </c>
      <c r="I282">
        <f>_xlfn.IFNA(VLOOKUP($A282,PredictionTable,MATCH(I$1,Analysts,0),FALSE),60)</f>
        <v>60</v>
      </c>
      <c r="J282">
        <f>_xlfn.IFNA(VLOOKUP($A282,PredictionTable,MATCH(J$1,Analysts,0),FALSE),60)</f>
        <v>60</v>
      </c>
      <c r="K282">
        <f>_xlfn.IFNA(VLOOKUP($A282,PredictionTable,MATCH(K$1,Analysts,0),FALSE),60)</f>
        <v>60</v>
      </c>
      <c r="L282">
        <f>_xlfn.IFNA(VLOOKUP($A282,PredictionTable,MATCH(L$1,Analysts,0),FALSE),60)</f>
        <v>60</v>
      </c>
      <c r="M282">
        <f>_xlfn.IFNA(VLOOKUP($A282,PredictionTable,MATCH(M$1,Analysts,0),FALSE),60)</f>
        <v>60</v>
      </c>
      <c r="N282">
        <f>_xlfn.IFNA(VLOOKUP($A282,PredictionTable,MATCH(N$1,Analysts,0),FALSE),60)</f>
        <v>60</v>
      </c>
      <c r="O282">
        <f>_xlfn.IFNA(VLOOKUP($A282,PredictionTable,MATCH(O$1,Analysts,0),FALSE),60)</f>
        <v>60</v>
      </c>
      <c r="P282">
        <f>_xlfn.IFNA(VLOOKUP($A282,PredictionTable,MATCH(P$1,Analysts,0),FALSE),60)</f>
        <v>60</v>
      </c>
      <c r="V282" s="7" t="s">
        <v>589</v>
      </c>
    </row>
    <row r="283" spans="1:22" x14ac:dyDescent="0.45">
      <c r="A283" s="1" t="s">
        <v>288</v>
      </c>
      <c r="B283" s="1" t="s">
        <v>228</v>
      </c>
      <c r="C283" s="1">
        <f>INDEX(T_Performances,MATCH($A283,T_Names,0))</f>
        <v>0</v>
      </c>
      <c r="D283">
        <v>24.7</v>
      </c>
      <c r="E283" s="1">
        <f>INDEX(T_Avg_PPG,MATCH($A283,T_Names,0))</f>
        <v>3.5285714285714285</v>
      </c>
      <c r="F283">
        <f>1+COUNTIFS(T_Total,"&gt;"&amp;D283,T_Pos,$B283)</f>
        <v>61</v>
      </c>
      <c r="G283">
        <f>1+COUNTIFS(T_Avg_PPG,"&gt;"&amp;E283,T_Pos,$B283)</f>
        <v>73</v>
      </c>
      <c r="H283">
        <f>_xlfn.IFNA(VLOOKUP($A283,PredictionTable,MATCH(H$1,Analysts,0),FALSE),60)</f>
        <v>60</v>
      </c>
      <c r="I283">
        <f>_xlfn.IFNA(VLOOKUP($A283,PredictionTable,MATCH(I$1,Analysts,0),FALSE),60)</f>
        <v>60</v>
      </c>
      <c r="J283">
        <f>_xlfn.IFNA(VLOOKUP($A283,PredictionTable,MATCH(J$1,Analysts,0),FALSE),60)</f>
        <v>60</v>
      </c>
      <c r="K283">
        <f>_xlfn.IFNA(VLOOKUP($A283,PredictionTable,MATCH(K$1,Analysts,0),FALSE),60)</f>
        <v>60</v>
      </c>
      <c r="L283">
        <f>_xlfn.IFNA(VLOOKUP($A283,PredictionTable,MATCH(L$1,Analysts,0),FALSE),60)</f>
        <v>60</v>
      </c>
      <c r="M283">
        <f>_xlfn.IFNA(VLOOKUP($A283,PredictionTable,MATCH(M$1,Analysts,0),FALSE),60)</f>
        <v>60</v>
      </c>
      <c r="N283">
        <f>_xlfn.IFNA(VLOOKUP($A283,PredictionTable,MATCH(N$1,Analysts,0),FALSE),60)</f>
        <v>60</v>
      </c>
      <c r="O283">
        <f>_xlfn.IFNA(VLOOKUP($A283,PredictionTable,MATCH(O$1,Analysts,0),FALSE),60)</f>
        <v>60</v>
      </c>
      <c r="P283">
        <f>_xlfn.IFNA(VLOOKUP($A283,PredictionTable,MATCH(P$1,Analysts,0),FALSE),60)</f>
        <v>60</v>
      </c>
      <c r="V283" s="7" t="s">
        <v>589</v>
      </c>
    </row>
    <row r="284" spans="1:22" x14ac:dyDescent="0.45">
      <c r="A284" s="1" t="s">
        <v>289</v>
      </c>
      <c r="B284" s="1" t="s">
        <v>228</v>
      </c>
      <c r="C284" s="1">
        <f>INDEX(T_Performances,MATCH($A284,T_Names,0))</f>
        <v>1</v>
      </c>
      <c r="D284">
        <v>23.8</v>
      </c>
      <c r="E284" s="1">
        <f>INDEX(T_Avg_PPG,MATCH($A284,T_Names,0))</f>
        <v>4.76</v>
      </c>
      <c r="F284">
        <f>1+COUNTIFS(T_Total,"&gt;"&amp;D284,T_Pos,$B284)</f>
        <v>62</v>
      </c>
      <c r="G284">
        <f>1+COUNTIFS(T_Avg_PPG,"&gt;"&amp;E284,T_Pos,$B284)</f>
        <v>51</v>
      </c>
      <c r="H284">
        <f>_xlfn.IFNA(VLOOKUP($A284,PredictionTable,MATCH(H$1,Analysts,0),FALSE),60)</f>
        <v>60</v>
      </c>
      <c r="I284">
        <f>_xlfn.IFNA(VLOOKUP($A284,PredictionTable,MATCH(I$1,Analysts,0),FALSE),60)</f>
        <v>60</v>
      </c>
      <c r="J284">
        <f>_xlfn.IFNA(VLOOKUP($A284,PredictionTable,MATCH(J$1,Analysts,0),FALSE),60)</f>
        <v>60</v>
      </c>
      <c r="K284">
        <f>_xlfn.IFNA(VLOOKUP($A284,PredictionTable,MATCH(K$1,Analysts,0),FALSE),60)</f>
        <v>60</v>
      </c>
      <c r="L284">
        <f>_xlfn.IFNA(VLOOKUP($A284,PredictionTable,MATCH(L$1,Analysts,0),FALSE),60)</f>
        <v>60</v>
      </c>
      <c r="M284">
        <f>_xlfn.IFNA(VLOOKUP($A284,PredictionTable,MATCH(M$1,Analysts,0),FALSE),60)</f>
        <v>60</v>
      </c>
      <c r="N284">
        <f>_xlfn.IFNA(VLOOKUP($A284,PredictionTable,MATCH(N$1,Analysts,0),FALSE),60)</f>
        <v>60</v>
      </c>
      <c r="O284">
        <f>_xlfn.IFNA(VLOOKUP($A284,PredictionTable,MATCH(O$1,Analysts,0),FALSE),60)</f>
        <v>60</v>
      </c>
      <c r="P284">
        <f>_xlfn.IFNA(VLOOKUP($A284,PredictionTable,MATCH(P$1,Analysts,0),FALSE),60)</f>
        <v>60</v>
      </c>
      <c r="V284" s="7" t="s">
        <v>589</v>
      </c>
    </row>
    <row r="285" spans="1:22" x14ac:dyDescent="0.45">
      <c r="A285" s="1" t="s">
        <v>290</v>
      </c>
      <c r="B285" s="1" t="s">
        <v>228</v>
      </c>
      <c r="C285" s="1">
        <f>INDEX(T_Performances,MATCH($A285,T_Names,0))</f>
        <v>1</v>
      </c>
      <c r="D285">
        <v>22.6</v>
      </c>
      <c r="E285" s="1">
        <f>INDEX(T_Avg_PPG,MATCH($A285,T_Names,0))</f>
        <v>7.5333333333333341</v>
      </c>
      <c r="F285">
        <f>1+COUNTIFS(T_Total,"&gt;"&amp;D285,T_Pos,$B285)</f>
        <v>63</v>
      </c>
      <c r="G285">
        <f>1+COUNTIFS(T_Avg_PPG,"&gt;"&amp;E285,T_Pos,$B285)</f>
        <v>18</v>
      </c>
      <c r="H285">
        <f>_xlfn.IFNA(VLOOKUP($A285,PredictionTable,MATCH(H$1,Analysts,0),FALSE),60)</f>
        <v>60</v>
      </c>
      <c r="I285">
        <f>_xlfn.IFNA(VLOOKUP($A285,PredictionTable,MATCH(I$1,Analysts,0),FALSE),60)</f>
        <v>60</v>
      </c>
      <c r="J285">
        <f>_xlfn.IFNA(VLOOKUP($A285,PredictionTable,MATCH(J$1,Analysts,0),FALSE),60)</f>
        <v>60</v>
      </c>
      <c r="K285">
        <f>_xlfn.IFNA(VLOOKUP($A285,PredictionTable,MATCH(K$1,Analysts,0),FALSE),60)</f>
        <v>60</v>
      </c>
      <c r="L285">
        <f>_xlfn.IFNA(VLOOKUP($A285,PredictionTable,MATCH(L$1,Analysts,0),FALSE),60)</f>
        <v>60</v>
      </c>
      <c r="M285">
        <f>_xlfn.IFNA(VLOOKUP($A285,PredictionTable,MATCH(M$1,Analysts,0),FALSE),60)</f>
        <v>60</v>
      </c>
      <c r="N285">
        <f>_xlfn.IFNA(VLOOKUP($A285,PredictionTable,MATCH(N$1,Analysts,0),FALSE),60)</f>
        <v>60</v>
      </c>
      <c r="O285">
        <f>_xlfn.IFNA(VLOOKUP($A285,PredictionTable,MATCH(O$1,Analysts,0),FALSE),60)</f>
        <v>60</v>
      </c>
      <c r="P285">
        <f>_xlfn.IFNA(VLOOKUP($A285,PredictionTable,MATCH(P$1,Analysts,0),FALSE),60)</f>
        <v>60</v>
      </c>
      <c r="V285" s="7" t="s">
        <v>589</v>
      </c>
    </row>
    <row r="286" spans="1:22" x14ac:dyDescent="0.45">
      <c r="A286" s="1" t="s">
        <v>291</v>
      </c>
      <c r="B286" s="1" t="s">
        <v>228</v>
      </c>
      <c r="C286" s="1">
        <f>INDEX(T_Performances,MATCH($A286,T_Names,0))</f>
        <v>0</v>
      </c>
      <c r="D286">
        <v>21.4</v>
      </c>
      <c r="E286" s="1">
        <f>INDEX(T_Avg_PPG,MATCH($A286,T_Names,0))</f>
        <v>3.5666666666666664</v>
      </c>
      <c r="F286">
        <f>1+COUNTIFS(T_Total,"&gt;"&amp;D286,T_Pos,$B286)</f>
        <v>64</v>
      </c>
      <c r="G286">
        <f>1+COUNTIFS(T_Avg_PPG,"&gt;"&amp;E286,T_Pos,$B286)</f>
        <v>71</v>
      </c>
      <c r="H286">
        <f>_xlfn.IFNA(VLOOKUP($A286,PredictionTable,MATCH(H$1,Analysts,0),FALSE),60)</f>
        <v>60</v>
      </c>
      <c r="I286">
        <f>_xlfn.IFNA(VLOOKUP($A286,PredictionTable,MATCH(I$1,Analysts,0),FALSE),60)</f>
        <v>60</v>
      </c>
      <c r="J286">
        <f>_xlfn.IFNA(VLOOKUP($A286,PredictionTable,MATCH(J$1,Analysts,0),FALSE),60)</f>
        <v>60</v>
      </c>
      <c r="K286">
        <f>_xlfn.IFNA(VLOOKUP($A286,PredictionTable,MATCH(K$1,Analysts,0),FALSE),60)</f>
        <v>60</v>
      </c>
      <c r="L286">
        <f>_xlfn.IFNA(VLOOKUP($A286,PredictionTable,MATCH(L$1,Analysts,0),FALSE),60)</f>
        <v>60</v>
      </c>
      <c r="M286">
        <f>_xlfn.IFNA(VLOOKUP($A286,PredictionTable,MATCH(M$1,Analysts,0),FALSE),60)</f>
        <v>60</v>
      </c>
      <c r="N286">
        <f>_xlfn.IFNA(VLOOKUP($A286,PredictionTable,MATCH(N$1,Analysts,0),FALSE),60)</f>
        <v>60</v>
      </c>
      <c r="O286">
        <f>_xlfn.IFNA(VLOOKUP($A286,PredictionTable,MATCH(O$1,Analysts,0),FALSE),60)</f>
        <v>60</v>
      </c>
      <c r="P286">
        <f>_xlfn.IFNA(VLOOKUP($A286,PredictionTable,MATCH(P$1,Analysts,0),FALSE),60)</f>
        <v>60</v>
      </c>
      <c r="V286" s="7" t="s">
        <v>589</v>
      </c>
    </row>
    <row r="287" spans="1:22" x14ac:dyDescent="0.45">
      <c r="A287" s="1" t="s">
        <v>292</v>
      </c>
      <c r="B287" s="1" t="s">
        <v>228</v>
      </c>
      <c r="C287" s="1">
        <f>INDEX(T_Performances,MATCH($A287,T_Names,0))</f>
        <v>0</v>
      </c>
      <c r="D287">
        <v>21.2</v>
      </c>
      <c r="E287" s="1">
        <f>INDEX(T_Avg_PPG,MATCH($A287,T_Names,0))</f>
        <v>4.24</v>
      </c>
      <c r="F287">
        <f>1+COUNTIFS(T_Total,"&gt;"&amp;D287,T_Pos,$B287)</f>
        <v>65</v>
      </c>
      <c r="G287">
        <f>1+COUNTIFS(T_Avg_PPG,"&gt;"&amp;E287,T_Pos,$B287)</f>
        <v>59</v>
      </c>
      <c r="H287">
        <f>_xlfn.IFNA(VLOOKUP($A287,PredictionTable,MATCH(H$1,Analysts,0),FALSE),60)</f>
        <v>60</v>
      </c>
      <c r="I287">
        <f>_xlfn.IFNA(VLOOKUP($A287,PredictionTable,MATCH(I$1,Analysts,0),FALSE),60)</f>
        <v>60</v>
      </c>
      <c r="J287">
        <f>_xlfn.IFNA(VLOOKUP($A287,PredictionTable,MATCH(J$1,Analysts,0),FALSE),60)</f>
        <v>60</v>
      </c>
      <c r="K287">
        <f>_xlfn.IFNA(VLOOKUP($A287,PredictionTable,MATCH(K$1,Analysts,0),FALSE),60)</f>
        <v>60</v>
      </c>
      <c r="L287">
        <f>_xlfn.IFNA(VLOOKUP($A287,PredictionTable,MATCH(L$1,Analysts,0),FALSE),60)</f>
        <v>60</v>
      </c>
      <c r="M287">
        <f>_xlfn.IFNA(VLOOKUP($A287,PredictionTable,MATCH(M$1,Analysts,0),FALSE),60)</f>
        <v>60</v>
      </c>
      <c r="N287">
        <f>_xlfn.IFNA(VLOOKUP($A287,PredictionTable,MATCH(N$1,Analysts,0),FALSE),60)</f>
        <v>60</v>
      </c>
      <c r="O287">
        <f>_xlfn.IFNA(VLOOKUP($A287,PredictionTable,MATCH(O$1,Analysts,0),FALSE),60)</f>
        <v>60</v>
      </c>
      <c r="P287">
        <f>_xlfn.IFNA(VLOOKUP($A287,PredictionTable,MATCH(P$1,Analysts,0),FALSE),60)</f>
        <v>60</v>
      </c>
      <c r="V287" s="7" t="s">
        <v>589</v>
      </c>
    </row>
    <row r="288" spans="1:22" x14ac:dyDescent="0.45">
      <c r="A288" s="1" t="s">
        <v>293</v>
      </c>
      <c r="B288" s="1" t="s">
        <v>228</v>
      </c>
      <c r="C288" s="1">
        <f>INDEX(T_Performances,MATCH($A288,T_Names,0))</f>
        <v>0</v>
      </c>
      <c r="D288">
        <v>19.5</v>
      </c>
      <c r="E288" s="1">
        <f>INDEX(T_Avg_PPG,MATCH($A288,T_Names,0))</f>
        <v>2.4375</v>
      </c>
      <c r="F288">
        <f>1+COUNTIFS(T_Total,"&gt;"&amp;D288,T_Pos,$B288)</f>
        <v>66</v>
      </c>
      <c r="G288">
        <f>1+COUNTIFS(T_Avg_PPG,"&gt;"&amp;E288,T_Pos,$B288)</f>
        <v>89</v>
      </c>
      <c r="H288">
        <f>_xlfn.IFNA(VLOOKUP($A288,PredictionTable,MATCH(H$1,Analysts,0),FALSE),60)</f>
        <v>60</v>
      </c>
      <c r="I288">
        <f>_xlfn.IFNA(VLOOKUP($A288,PredictionTable,MATCH(I$1,Analysts,0),FALSE),60)</f>
        <v>60</v>
      </c>
      <c r="J288">
        <f>_xlfn.IFNA(VLOOKUP($A288,PredictionTable,MATCH(J$1,Analysts,0),FALSE),60)</f>
        <v>60</v>
      </c>
      <c r="K288">
        <f>_xlfn.IFNA(VLOOKUP($A288,PredictionTable,MATCH(K$1,Analysts,0),FALSE),60)</f>
        <v>60</v>
      </c>
      <c r="L288">
        <f>_xlfn.IFNA(VLOOKUP($A288,PredictionTable,MATCH(L$1,Analysts,0),FALSE),60)</f>
        <v>60</v>
      </c>
      <c r="M288">
        <f>_xlfn.IFNA(VLOOKUP($A288,PredictionTable,MATCH(M$1,Analysts,0),FALSE),60)</f>
        <v>60</v>
      </c>
      <c r="N288">
        <f>_xlfn.IFNA(VLOOKUP($A288,PredictionTable,MATCH(N$1,Analysts,0),FALSE),60)</f>
        <v>60</v>
      </c>
      <c r="O288">
        <f>_xlfn.IFNA(VLOOKUP($A288,PredictionTable,MATCH(O$1,Analysts,0),FALSE),60)</f>
        <v>60</v>
      </c>
      <c r="P288">
        <f>_xlfn.IFNA(VLOOKUP($A288,PredictionTable,MATCH(P$1,Analysts,0),FALSE),60)</f>
        <v>60</v>
      </c>
      <c r="V288" s="7" t="s">
        <v>589</v>
      </c>
    </row>
    <row r="289" spans="1:22" x14ac:dyDescent="0.45">
      <c r="A289" s="1" t="s">
        <v>294</v>
      </c>
      <c r="B289" s="1" t="s">
        <v>228</v>
      </c>
      <c r="C289" s="1">
        <f>INDEX(T_Performances,MATCH($A289,T_Names,0))</f>
        <v>0</v>
      </c>
      <c r="D289">
        <v>19.5</v>
      </c>
      <c r="E289" s="1">
        <f>INDEX(T_Avg_PPG,MATCH($A289,T_Names,0))</f>
        <v>3.9</v>
      </c>
      <c r="F289">
        <f>1+COUNTIFS(T_Total,"&gt;"&amp;D289,T_Pos,$B289)</f>
        <v>66</v>
      </c>
      <c r="G289">
        <f>1+COUNTIFS(T_Avg_PPG,"&gt;"&amp;E289,T_Pos,$B289)</f>
        <v>64</v>
      </c>
      <c r="H289">
        <f>_xlfn.IFNA(VLOOKUP($A289,PredictionTable,MATCH(H$1,Analysts,0),FALSE),60)</f>
        <v>60</v>
      </c>
      <c r="I289">
        <f>_xlfn.IFNA(VLOOKUP($A289,PredictionTable,MATCH(I$1,Analysts,0),FALSE),60)</f>
        <v>60</v>
      </c>
      <c r="J289">
        <f>_xlfn.IFNA(VLOOKUP($A289,PredictionTable,MATCH(J$1,Analysts,0),FALSE),60)</f>
        <v>60</v>
      </c>
      <c r="K289">
        <f>_xlfn.IFNA(VLOOKUP($A289,PredictionTable,MATCH(K$1,Analysts,0),FALSE),60)</f>
        <v>60</v>
      </c>
      <c r="L289">
        <f>_xlfn.IFNA(VLOOKUP($A289,PredictionTable,MATCH(L$1,Analysts,0),FALSE),60)</f>
        <v>60</v>
      </c>
      <c r="M289">
        <f>_xlfn.IFNA(VLOOKUP($A289,PredictionTable,MATCH(M$1,Analysts,0),FALSE),60)</f>
        <v>60</v>
      </c>
      <c r="N289">
        <f>_xlfn.IFNA(VLOOKUP($A289,PredictionTable,MATCH(N$1,Analysts,0),FALSE),60)</f>
        <v>60</v>
      </c>
      <c r="O289">
        <f>_xlfn.IFNA(VLOOKUP($A289,PredictionTable,MATCH(O$1,Analysts,0),FALSE),60)</f>
        <v>60</v>
      </c>
      <c r="P289">
        <f>_xlfn.IFNA(VLOOKUP($A289,PredictionTable,MATCH(P$1,Analysts,0),FALSE),60)</f>
        <v>60</v>
      </c>
      <c r="V289" s="7" t="s">
        <v>589</v>
      </c>
    </row>
    <row r="290" spans="1:22" x14ac:dyDescent="0.45">
      <c r="A290" s="1" t="s">
        <v>295</v>
      </c>
      <c r="B290" s="1" t="s">
        <v>228</v>
      </c>
      <c r="C290" s="1">
        <f>INDEX(T_Performances,MATCH($A290,T_Names,0))</f>
        <v>0</v>
      </c>
      <c r="D290">
        <v>16</v>
      </c>
      <c r="E290" s="1">
        <f>INDEX(T_Avg_PPG,MATCH($A290,T_Names,0))</f>
        <v>2.6666666666666665</v>
      </c>
      <c r="F290">
        <f>1+COUNTIFS(T_Total,"&gt;"&amp;D290,T_Pos,$B290)</f>
        <v>68</v>
      </c>
      <c r="G290">
        <f>1+COUNTIFS(T_Avg_PPG,"&gt;"&amp;E290,T_Pos,$B290)</f>
        <v>85</v>
      </c>
      <c r="H290">
        <f>_xlfn.IFNA(VLOOKUP($A290,PredictionTable,MATCH(H$1,Analysts,0),FALSE),60)</f>
        <v>60</v>
      </c>
      <c r="I290">
        <f>_xlfn.IFNA(VLOOKUP($A290,PredictionTable,MATCH(I$1,Analysts,0),FALSE),60)</f>
        <v>60</v>
      </c>
      <c r="J290">
        <f>_xlfn.IFNA(VLOOKUP($A290,PredictionTable,MATCH(J$1,Analysts,0),FALSE),60)</f>
        <v>60</v>
      </c>
      <c r="K290">
        <f>_xlfn.IFNA(VLOOKUP($A290,PredictionTable,MATCH(K$1,Analysts,0),FALSE),60)</f>
        <v>60</v>
      </c>
      <c r="L290">
        <f>_xlfn.IFNA(VLOOKUP($A290,PredictionTable,MATCH(L$1,Analysts,0),FALSE),60)</f>
        <v>60</v>
      </c>
      <c r="M290">
        <f>_xlfn.IFNA(VLOOKUP($A290,PredictionTable,MATCH(M$1,Analysts,0),FALSE),60)</f>
        <v>60</v>
      </c>
      <c r="N290">
        <f>_xlfn.IFNA(VLOOKUP($A290,PredictionTable,MATCH(N$1,Analysts,0),FALSE),60)</f>
        <v>60</v>
      </c>
      <c r="O290">
        <f>_xlfn.IFNA(VLOOKUP($A290,PredictionTable,MATCH(O$1,Analysts,0),FALSE),60)</f>
        <v>60</v>
      </c>
      <c r="P290">
        <f>_xlfn.IFNA(VLOOKUP($A290,PredictionTable,MATCH(P$1,Analysts,0),FALSE),60)</f>
        <v>60</v>
      </c>
      <c r="V290" s="7" t="s">
        <v>589</v>
      </c>
    </row>
    <row r="291" spans="1:22" x14ac:dyDescent="0.45">
      <c r="A291" s="1" t="s">
        <v>296</v>
      </c>
      <c r="B291" s="1" t="s">
        <v>228</v>
      </c>
      <c r="C291" s="1">
        <f>INDEX(T_Performances,MATCH($A291,T_Names,0))</f>
        <v>1</v>
      </c>
      <c r="D291">
        <v>14.1</v>
      </c>
      <c r="E291" s="1">
        <f>INDEX(T_Avg_PPG,MATCH($A291,T_Names,0))</f>
        <v>4.7</v>
      </c>
      <c r="F291">
        <f>1+COUNTIFS(T_Total,"&gt;"&amp;D291,T_Pos,$B291)</f>
        <v>69</v>
      </c>
      <c r="G291">
        <f>1+COUNTIFS(T_Avg_PPG,"&gt;"&amp;E291,T_Pos,$B291)</f>
        <v>53</v>
      </c>
      <c r="H291">
        <f>_xlfn.IFNA(VLOOKUP($A291,PredictionTable,MATCH(H$1,Analysts,0),FALSE),60)</f>
        <v>60</v>
      </c>
      <c r="I291">
        <f>_xlfn.IFNA(VLOOKUP($A291,PredictionTable,MATCH(I$1,Analysts,0),FALSE),60)</f>
        <v>60</v>
      </c>
      <c r="J291">
        <f>_xlfn.IFNA(VLOOKUP($A291,PredictionTable,MATCH(J$1,Analysts,0),FALSE),60)</f>
        <v>60</v>
      </c>
      <c r="K291">
        <f>_xlfn.IFNA(VLOOKUP($A291,PredictionTable,MATCH(K$1,Analysts,0),FALSE),60)</f>
        <v>60</v>
      </c>
      <c r="L291">
        <f>_xlfn.IFNA(VLOOKUP($A291,PredictionTable,MATCH(L$1,Analysts,0),FALSE),60)</f>
        <v>60</v>
      </c>
      <c r="M291">
        <f>_xlfn.IFNA(VLOOKUP($A291,PredictionTable,MATCH(M$1,Analysts,0),FALSE),60)</f>
        <v>60</v>
      </c>
      <c r="N291">
        <f>_xlfn.IFNA(VLOOKUP($A291,PredictionTable,MATCH(N$1,Analysts,0),FALSE),60)</f>
        <v>60</v>
      </c>
      <c r="O291">
        <f>_xlfn.IFNA(VLOOKUP($A291,PredictionTable,MATCH(O$1,Analysts,0),FALSE),60)</f>
        <v>60</v>
      </c>
      <c r="P291">
        <f>_xlfn.IFNA(VLOOKUP($A291,PredictionTable,MATCH(P$1,Analysts,0),FALSE),60)</f>
        <v>60</v>
      </c>
      <c r="V291" s="7" t="s">
        <v>589</v>
      </c>
    </row>
    <row r="292" spans="1:22" x14ac:dyDescent="0.45">
      <c r="A292" s="1" t="s">
        <v>297</v>
      </c>
      <c r="B292" s="1" t="s">
        <v>228</v>
      </c>
      <c r="C292" s="1">
        <f>INDEX(T_Performances,MATCH($A292,T_Names,0))</f>
        <v>0</v>
      </c>
      <c r="D292">
        <v>13.3</v>
      </c>
      <c r="E292" s="1">
        <f>INDEX(T_Avg_PPG,MATCH($A292,T_Names,0))</f>
        <v>4.4333333333333336</v>
      </c>
      <c r="F292">
        <f>1+COUNTIFS(T_Total,"&gt;"&amp;D292,T_Pos,$B292)</f>
        <v>70</v>
      </c>
      <c r="G292">
        <f>1+COUNTIFS(T_Avg_PPG,"&gt;"&amp;E292,T_Pos,$B292)</f>
        <v>57</v>
      </c>
      <c r="H292">
        <f>_xlfn.IFNA(VLOOKUP($A292,PredictionTable,MATCH(H$1,Analysts,0),FALSE),60)</f>
        <v>60</v>
      </c>
      <c r="I292">
        <f>_xlfn.IFNA(VLOOKUP($A292,PredictionTable,MATCH(I$1,Analysts,0),FALSE),60)</f>
        <v>60</v>
      </c>
      <c r="J292">
        <f>_xlfn.IFNA(VLOOKUP($A292,PredictionTable,MATCH(J$1,Analysts,0),FALSE),60)</f>
        <v>60</v>
      </c>
      <c r="K292">
        <f>_xlfn.IFNA(VLOOKUP($A292,PredictionTable,MATCH(K$1,Analysts,0),FALSE),60)</f>
        <v>60</v>
      </c>
      <c r="L292">
        <f>_xlfn.IFNA(VLOOKUP($A292,PredictionTable,MATCH(L$1,Analysts,0),FALSE),60)</f>
        <v>60</v>
      </c>
      <c r="M292">
        <f>_xlfn.IFNA(VLOOKUP($A292,PredictionTable,MATCH(M$1,Analysts,0),FALSE),60)</f>
        <v>60</v>
      </c>
      <c r="N292">
        <f>_xlfn.IFNA(VLOOKUP($A292,PredictionTable,MATCH(N$1,Analysts,0),FALSE),60)</f>
        <v>60</v>
      </c>
      <c r="O292">
        <f>_xlfn.IFNA(VLOOKUP($A292,PredictionTable,MATCH(O$1,Analysts,0),FALSE),60)</f>
        <v>60</v>
      </c>
      <c r="P292">
        <f>_xlfn.IFNA(VLOOKUP($A292,PredictionTable,MATCH(P$1,Analysts,0),FALSE),60)</f>
        <v>60</v>
      </c>
      <c r="V292" s="7" t="s">
        <v>589</v>
      </c>
    </row>
    <row r="293" spans="1:22" x14ac:dyDescent="0.45">
      <c r="A293" s="1" t="s">
        <v>298</v>
      </c>
      <c r="B293" s="1" t="s">
        <v>228</v>
      </c>
      <c r="C293" s="1">
        <f>INDEX(T_Performances,MATCH($A293,T_Names,0))</f>
        <v>0</v>
      </c>
      <c r="D293">
        <v>13.2</v>
      </c>
      <c r="E293" s="1">
        <f>INDEX(T_Avg_PPG,MATCH($A293,T_Names,0))</f>
        <v>4.3999999999999995</v>
      </c>
      <c r="F293">
        <f>1+COUNTIFS(T_Total,"&gt;"&amp;D293,T_Pos,$B293)</f>
        <v>71</v>
      </c>
      <c r="G293">
        <f>1+COUNTIFS(T_Avg_PPG,"&gt;"&amp;E293,T_Pos,$B293)</f>
        <v>58</v>
      </c>
      <c r="H293">
        <f>_xlfn.IFNA(VLOOKUP($A293,PredictionTable,MATCH(H$1,Analysts,0),FALSE),60)</f>
        <v>60</v>
      </c>
      <c r="I293">
        <f>_xlfn.IFNA(VLOOKUP($A293,PredictionTable,MATCH(I$1,Analysts,0),FALSE),60)</f>
        <v>60</v>
      </c>
      <c r="J293">
        <f>_xlfn.IFNA(VLOOKUP($A293,PredictionTable,MATCH(J$1,Analysts,0),FALSE),60)</f>
        <v>60</v>
      </c>
      <c r="K293">
        <f>_xlfn.IFNA(VLOOKUP($A293,PredictionTable,MATCH(K$1,Analysts,0),FALSE),60)</f>
        <v>60</v>
      </c>
      <c r="L293">
        <f>_xlfn.IFNA(VLOOKUP($A293,PredictionTable,MATCH(L$1,Analysts,0),FALSE),60)</f>
        <v>60</v>
      </c>
      <c r="M293">
        <f>_xlfn.IFNA(VLOOKUP($A293,PredictionTable,MATCH(M$1,Analysts,0),FALSE),60)</f>
        <v>60</v>
      </c>
      <c r="N293">
        <f>_xlfn.IFNA(VLOOKUP($A293,PredictionTable,MATCH(N$1,Analysts,0),FALSE),60)</f>
        <v>60</v>
      </c>
      <c r="O293">
        <f>_xlfn.IFNA(VLOOKUP($A293,PredictionTable,MATCH(O$1,Analysts,0),FALSE),60)</f>
        <v>60</v>
      </c>
      <c r="P293">
        <f>_xlfn.IFNA(VLOOKUP($A293,PredictionTable,MATCH(P$1,Analysts,0),FALSE),60)</f>
        <v>60</v>
      </c>
      <c r="V293" s="7" t="s">
        <v>589</v>
      </c>
    </row>
    <row r="294" spans="1:22" x14ac:dyDescent="0.45">
      <c r="A294" s="1" t="s">
        <v>299</v>
      </c>
      <c r="B294" s="1" t="s">
        <v>228</v>
      </c>
      <c r="C294" s="1">
        <f>INDEX(T_Performances,MATCH($A294,T_Names,0))</f>
        <v>0</v>
      </c>
      <c r="D294">
        <v>13.1</v>
      </c>
      <c r="E294" s="1">
        <f>INDEX(T_Avg_PPG,MATCH($A294,T_Names,0))</f>
        <v>3.2749999999999999</v>
      </c>
      <c r="F294">
        <f>1+COUNTIFS(T_Total,"&gt;"&amp;D294,T_Pos,$B294)</f>
        <v>72</v>
      </c>
      <c r="G294">
        <f>1+COUNTIFS(T_Avg_PPG,"&gt;"&amp;E294,T_Pos,$B294)</f>
        <v>75</v>
      </c>
      <c r="H294">
        <f>_xlfn.IFNA(VLOOKUP($A294,PredictionTable,MATCH(H$1,Analysts,0),FALSE),60)</f>
        <v>60</v>
      </c>
      <c r="I294">
        <f>_xlfn.IFNA(VLOOKUP($A294,PredictionTable,MATCH(I$1,Analysts,0),FALSE),60)</f>
        <v>60</v>
      </c>
      <c r="J294">
        <f>_xlfn.IFNA(VLOOKUP($A294,PredictionTable,MATCH(J$1,Analysts,0),FALSE),60)</f>
        <v>60</v>
      </c>
      <c r="K294">
        <f>_xlfn.IFNA(VLOOKUP($A294,PredictionTable,MATCH(K$1,Analysts,0),FALSE),60)</f>
        <v>60</v>
      </c>
      <c r="L294">
        <f>_xlfn.IFNA(VLOOKUP($A294,PredictionTable,MATCH(L$1,Analysts,0),FALSE),60)</f>
        <v>60</v>
      </c>
      <c r="M294">
        <f>_xlfn.IFNA(VLOOKUP($A294,PredictionTable,MATCH(M$1,Analysts,0),FALSE),60)</f>
        <v>60</v>
      </c>
      <c r="N294">
        <f>_xlfn.IFNA(VLOOKUP($A294,PredictionTable,MATCH(N$1,Analysts,0),FALSE),60)</f>
        <v>60</v>
      </c>
      <c r="O294">
        <f>_xlfn.IFNA(VLOOKUP($A294,PredictionTable,MATCH(O$1,Analysts,0),FALSE),60)</f>
        <v>60</v>
      </c>
      <c r="P294">
        <f>_xlfn.IFNA(VLOOKUP($A294,PredictionTable,MATCH(P$1,Analysts,0),FALSE),60)</f>
        <v>60</v>
      </c>
      <c r="V294" s="7" t="s">
        <v>589</v>
      </c>
    </row>
    <row r="295" spans="1:22" x14ac:dyDescent="0.45">
      <c r="A295" s="1" t="s">
        <v>300</v>
      </c>
      <c r="B295" s="1" t="s">
        <v>228</v>
      </c>
      <c r="C295" s="1">
        <f>INDEX(T_Performances,MATCH($A295,T_Names,0))</f>
        <v>0</v>
      </c>
      <c r="D295">
        <v>13</v>
      </c>
      <c r="E295" s="1">
        <f>INDEX(T_Avg_PPG,MATCH($A295,T_Names,0))</f>
        <v>3.25</v>
      </c>
      <c r="F295">
        <f>1+COUNTIFS(T_Total,"&gt;"&amp;D295,T_Pos,$B295)</f>
        <v>73</v>
      </c>
      <c r="G295">
        <f>1+COUNTIFS(T_Avg_PPG,"&gt;"&amp;E295,T_Pos,$B295)</f>
        <v>77</v>
      </c>
      <c r="H295">
        <f>_xlfn.IFNA(VLOOKUP($A295,PredictionTable,MATCH(H$1,Analysts,0),FALSE),60)</f>
        <v>60</v>
      </c>
      <c r="I295">
        <f>_xlfn.IFNA(VLOOKUP($A295,PredictionTable,MATCH(I$1,Analysts,0),FALSE),60)</f>
        <v>60</v>
      </c>
      <c r="J295">
        <f>_xlfn.IFNA(VLOOKUP($A295,PredictionTable,MATCH(J$1,Analysts,0),FALSE),60)</f>
        <v>60</v>
      </c>
      <c r="K295">
        <f>_xlfn.IFNA(VLOOKUP($A295,PredictionTable,MATCH(K$1,Analysts,0),FALSE),60)</f>
        <v>60</v>
      </c>
      <c r="L295">
        <f>_xlfn.IFNA(VLOOKUP($A295,PredictionTable,MATCH(L$1,Analysts,0),FALSE),60)</f>
        <v>60</v>
      </c>
      <c r="M295">
        <f>_xlfn.IFNA(VLOOKUP($A295,PredictionTable,MATCH(M$1,Analysts,0),FALSE),60)</f>
        <v>60</v>
      </c>
      <c r="N295">
        <f>_xlfn.IFNA(VLOOKUP($A295,PredictionTable,MATCH(N$1,Analysts,0),FALSE),60)</f>
        <v>60</v>
      </c>
      <c r="O295">
        <f>_xlfn.IFNA(VLOOKUP($A295,PredictionTable,MATCH(O$1,Analysts,0),FALSE),60)</f>
        <v>60</v>
      </c>
      <c r="P295">
        <f>_xlfn.IFNA(VLOOKUP($A295,PredictionTable,MATCH(P$1,Analysts,0),FALSE),60)</f>
        <v>60</v>
      </c>
      <c r="V295" s="7" t="s">
        <v>589</v>
      </c>
    </row>
    <row r="296" spans="1:22" x14ac:dyDescent="0.45">
      <c r="A296" s="1" t="s">
        <v>301</v>
      </c>
      <c r="B296" s="1" t="s">
        <v>228</v>
      </c>
      <c r="C296" s="1">
        <f>INDEX(T_Performances,MATCH($A296,T_Names,0))</f>
        <v>0</v>
      </c>
      <c r="D296">
        <v>12.7</v>
      </c>
      <c r="E296" s="1">
        <f>INDEX(T_Avg_PPG,MATCH($A296,T_Names,0))</f>
        <v>3.1749999999999998</v>
      </c>
      <c r="F296">
        <f>1+COUNTIFS(T_Total,"&gt;"&amp;D296,T_Pos,$B296)</f>
        <v>74</v>
      </c>
      <c r="G296">
        <f>1+COUNTIFS(T_Avg_PPG,"&gt;"&amp;E296,T_Pos,$B296)</f>
        <v>79</v>
      </c>
      <c r="H296">
        <f>_xlfn.IFNA(VLOOKUP($A296,PredictionTable,MATCH(H$1,Analysts,0),FALSE),60)</f>
        <v>60</v>
      </c>
      <c r="I296">
        <f>_xlfn.IFNA(VLOOKUP($A296,PredictionTable,MATCH(I$1,Analysts,0),FALSE),60)</f>
        <v>60</v>
      </c>
      <c r="J296">
        <f>_xlfn.IFNA(VLOOKUP($A296,PredictionTable,MATCH(J$1,Analysts,0),FALSE),60)</f>
        <v>60</v>
      </c>
      <c r="K296">
        <f>_xlfn.IFNA(VLOOKUP($A296,PredictionTable,MATCH(K$1,Analysts,0),FALSE),60)</f>
        <v>60</v>
      </c>
      <c r="L296">
        <f>_xlfn.IFNA(VLOOKUP($A296,PredictionTable,MATCH(L$1,Analysts,0),FALSE),60)</f>
        <v>60</v>
      </c>
      <c r="M296">
        <f>_xlfn.IFNA(VLOOKUP($A296,PredictionTable,MATCH(M$1,Analysts,0),FALSE),60)</f>
        <v>60</v>
      </c>
      <c r="N296">
        <f>_xlfn.IFNA(VLOOKUP($A296,PredictionTable,MATCH(N$1,Analysts,0),FALSE),60)</f>
        <v>60</v>
      </c>
      <c r="O296">
        <f>_xlfn.IFNA(VLOOKUP($A296,PredictionTable,MATCH(O$1,Analysts,0),FALSE),60)</f>
        <v>60</v>
      </c>
      <c r="P296">
        <f>_xlfn.IFNA(VLOOKUP($A296,PredictionTable,MATCH(P$1,Analysts,0),FALSE),60)</f>
        <v>60</v>
      </c>
      <c r="V296" s="7" t="s">
        <v>589</v>
      </c>
    </row>
    <row r="297" spans="1:22" x14ac:dyDescent="0.45">
      <c r="A297" s="1" t="s">
        <v>302</v>
      </c>
      <c r="B297" s="1" t="s">
        <v>228</v>
      </c>
      <c r="C297" s="1">
        <f>INDEX(T_Performances,MATCH($A297,T_Names,0))</f>
        <v>0</v>
      </c>
      <c r="D297">
        <v>12.1</v>
      </c>
      <c r="E297" s="1">
        <f>INDEX(T_Avg_PPG,MATCH($A297,T_Names,0))</f>
        <v>4.0333333333333332</v>
      </c>
      <c r="F297">
        <f>1+COUNTIFS(T_Total,"&gt;"&amp;D297,T_Pos,$B297)</f>
        <v>75</v>
      </c>
      <c r="G297">
        <f>1+COUNTIFS(T_Avg_PPG,"&gt;"&amp;E297,T_Pos,$B297)</f>
        <v>62</v>
      </c>
      <c r="H297">
        <f>_xlfn.IFNA(VLOOKUP($A297,PredictionTable,MATCH(H$1,Analysts,0),FALSE),60)</f>
        <v>60</v>
      </c>
      <c r="I297">
        <f>_xlfn.IFNA(VLOOKUP($A297,PredictionTable,MATCH(I$1,Analysts,0),FALSE),60)</f>
        <v>60</v>
      </c>
      <c r="J297">
        <f>_xlfn.IFNA(VLOOKUP($A297,PredictionTable,MATCH(J$1,Analysts,0),FALSE),60)</f>
        <v>60</v>
      </c>
      <c r="K297">
        <f>_xlfn.IFNA(VLOOKUP($A297,PredictionTable,MATCH(K$1,Analysts,0),FALSE),60)</f>
        <v>60</v>
      </c>
      <c r="L297">
        <f>_xlfn.IFNA(VLOOKUP($A297,PredictionTable,MATCH(L$1,Analysts,0),FALSE),60)</f>
        <v>60</v>
      </c>
      <c r="M297">
        <f>_xlfn.IFNA(VLOOKUP($A297,PredictionTable,MATCH(M$1,Analysts,0),FALSE),60)</f>
        <v>60</v>
      </c>
      <c r="N297">
        <f>_xlfn.IFNA(VLOOKUP($A297,PredictionTable,MATCH(N$1,Analysts,0),FALSE),60)</f>
        <v>60</v>
      </c>
      <c r="O297">
        <f>_xlfn.IFNA(VLOOKUP($A297,PredictionTable,MATCH(O$1,Analysts,0),FALSE),60)</f>
        <v>60</v>
      </c>
      <c r="P297">
        <f>_xlfn.IFNA(VLOOKUP($A297,PredictionTable,MATCH(P$1,Analysts,0),FALSE),60)</f>
        <v>60</v>
      </c>
      <c r="V297" s="7" t="s">
        <v>589</v>
      </c>
    </row>
    <row r="298" spans="1:22" x14ac:dyDescent="0.45">
      <c r="A298" s="1" t="s">
        <v>303</v>
      </c>
      <c r="B298" s="1" t="s">
        <v>228</v>
      </c>
      <c r="C298" s="1">
        <f>INDEX(T_Performances,MATCH($A298,T_Names,0))</f>
        <v>0</v>
      </c>
      <c r="D298">
        <v>11.3</v>
      </c>
      <c r="E298" s="1">
        <f>INDEX(T_Avg_PPG,MATCH($A298,T_Names,0))</f>
        <v>5.65</v>
      </c>
      <c r="F298">
        <f>1+COUNTIFS(T_Total,"&gt;"&amp;D298,T_Pos,$B298)</f>
        <v>76</v>
      </c>
      <c r="G298">
        <f>1+COUNTIFS(T_Avg_PPG,"&gt;"&amp;E298,T_Pos,$B298)</f>
        <v>40</v>
      </c>
      <c r="H298">
        <f>_xlfn.IFNA(VLOOKUP($A298,PredictionTable,MATCH(H$1,Analysts,0),FALSE),60)</f>
        <v>60</v>
      </c>
      <c r="I298">
        <f>_xlfn.IFNA(VLOOKUP($A298,PredictionTable,MATCH(I$1,Analysts,0),FALSE),60)</f>
        <v>60</v>
      </c>
      <c r="J298">
        <f>_xlfn.IFNA(VLOOKUP($A298,PredictionTable,MATCH(J$1,Analysts,0),FALSE),60)</f>
        <v>60</v>
      </c>
      <c r="K298">
        <f>_xlfn.IFNA(VLOOKUP($A298,PredictionTable,MATCH(K$1,Analysts,0),FALSE),60)</f>
        <v>60</v>
      </c>
      <c r="L298">
        <f>_xlfn.IFNA(VLOOKUP($A298,PredictionTable,MATCH(L$1,Analysts,0),FALSE),60)</f>
        <v>60</v>
      </c>
      <c r="M298">
        <f>_xlfn.IFNA(VLOOKUP($A298,PredictionTable,MATCH(M$1,Analysts,0),FALSE),60)</f>
        <v>60</v>
      </c>
      <c r="N298">
        <f>_xlfn.IFNA(VLOOKUP($A298,PredictionTable,MATCH(N$1,Analysts,0),FALSE),60)</f>
        <v>60</v>
      </c>
      <c r="O298">
        <f>_xlfn.IFNA(VLOOKUP($A298,PredictionTable,MATCH(O$1,Analysts,0),FALSE),60)</f>
        <v>60</v>
      </c>
      <c r="P298">
        <f>_xlfn.IFNA(VLOOKUP($A298,PredictionTable,MATCH(P$1,Analysts,0),FALSE),60)</f>
        <v>60</v>
      </c>
      <c r="V298" s="7" t="s">
        <v>589</v>
      </c>
    </row>
    <row r="299" spans="1:22" x14ac:dyDescent="0.45">
      <c r="A299" s="1" t="s">
        <v>304</v>
      </c>
      <c r="B299" s="1" t="s">
        <v>228</v>
      </c>
      <c r="C299" s="1">
        <f>INDEX(T_Performances,MATCH($A299,T_Names,0))</f>
        <v>0</v>
      </c>
      <c r="D299">
        <v>11.3</v>
      </c>
      <c r="E299" s="1">
        <f>INDEX(T_Avg_PPG,MATCH($A299,T_Names,0))</f>
        <v>3.7666666666666671</v>
      </c>
      <c r="F299">
        <f>1+COUNTIFS(T_Total,"&gt;"&amp;D299,T_Pos,$B299)</f>
        <v>76</v>
      </c>
      <c r="G299">
        <f>1+COUNTIFS(T_Avg_PPG,"&gt;"&amp;E299,T_Pos,$B299)</f>
        <v>68</v>
      </c>
      <c r="H299">
        <f>_xlfn.IFNA(VLOOKUP($A299,PredictionTable,MATCH(H$1,Analysts,0),FALSE),60)</f>
        <v>60</v>
      </c>
      <c r="I299">
        <f>_xlfn.IFNA(VLOOKUP($A299,PredictionTable,MATCH(I$1,Analysts,0),FALSE),60)</f>
        <v>60</v>
      </c>
      <c r="J299">
        <f>_xlfn.IFNA(VLOOKUP($A299,PredictionTable,MATCH(J$1,Analysts,0),FALSE),60)</f>
        <v>60</v>
      </c>
      <c r="K299">
        <f>_xlfn.IFNA(VLOOKUP($A299,PredictionTable,MATCH(K$1,Analysts,0),FALSE),60)</f>
        <v>60</v>
      </c>
      <c r="L299">
        <f>_xlfn.IFNA(VLOOKUP($A299,PredictionTable,MATCH(L$1,Analysts,0),FALSE),60)</f>
        <v>60</v>
      </c>
      <c r="M299">
        <f>_xlfn.IFNA(VLOOKUP($A299,PredictionTable,MATCH(M$1,Analysts,0),FALSE),60)</f>
        <v>60</v>
      </c>
      <c r="N299">
        <f>_xlfn.IFNA(VLOOKUP($A299,PredictionTable,MATCH(N$1,Analysts,0),FALSE),60)</f>
        <v>60</v>
      </c>
      <c r="O299">
        <f>_xlfn.IFNA(VLOOKUP($A299,PredictionTable,MATCH(O$1,Analysts,0),FALSE),60)</f>
        <v>60</v>
      </c>
      <c r="P299">
        <f>_xlfn.IFNA(VLOOKUP($A299,PredictionTable,MATCH(P$1,Analysts,0),FALSE),60)</f>
        <v>60</v>
      </c>
      <c r="V299" s="7" t="s">
        <v>589</v>
      </c>
    </row>
    <row r="300" spans="1:22" x14ac:dyDescent="0.45">
      <c r="A300" s="1" t="s">
        <v>305</v>
      </c>
      <c r="B300" s="1" t="s">
        <v>228</v>
      </c>
      <c r="C300" s="1">
        <f>INDEX(T_Performances,MATCH($A300,T_Names,0))</f>
        <v>0</v>
      </c>
      <c r="D300">
        <v>11.3</v>
      </c>
      <c r="E300" s="1">
        <f>INDEX(T_Avg_PPG,MATCH($A300,T_Names,0))</f>
        <v>2.2600000000000002</v>
      </c>
      <c r="F300">
        <f>1+COUNTIFS(T_Total,"&gt;"&amp;D300,T_Pos,$B300)</f>
        <v>76</v>
      </c>
      <c r="G300">
        <f>1+COUNTIFS(T_Avg_PPG,"&gt;"&amp;E300,T_Pos,$B300)</f>
        <v>90</v>
      </c>
      <c r="H300">
        <f>_xlfn.IFNA(VLOOKUP($A300,PredictionTable,MATCH(H$1,Analysts,0),FALSE),60)</f>
        <v>60</v>
      </c>
      <c r="I300">
        <f>_xlfn.IFNA(VLOOKUP($A300,PredictionTable,MATCH(I$1,Analysts,0),FALSE),60)</f>
        <v>60</v>
      </c>
      <c r="J300">
        <f>_xlfn.IFNA(VLOOKUP($A300,PredictionTable,MATCH(J$1,Analysts,0),FALSE),60)</f>
        <v>60</v>
      </c>
      <c r="K300">
        <f>_xlfn.IFNA(VLOOKUP($A300,PredictionTable,MATCH(K$1,Analysts,0),FALSE),60)</f>
        <v>60</v>
      </c>
      <c r="L300">
        <f>_xlfn.IFNA(VLOOKUP($A300,PredictionTable,MATCH(L$1,Analysts,0),FALSE),60)</f>
        <v>60</v>
      </c>
      <c r="M300">
        <f>_xlfn.IFNA(VLOOKUP($A300,PredictionTable,MATCH(M$1,Analysts,0),FALSE),60)</f>
        <v>60</v>
      </c>
      <c r="N300">
        <f>_xlfn.IFNA(VLOOKUP($A300,PredictionTable,MATCH(N$1,Analysts,0),FALSE),60)</f>
        <v>60</v>
      </c>
      <c r="O300">
        <f>_xlfn.IFNA(VLOOKUP($A300,PredictionTable,MATCH(O$1,Analysts,0),FALSE),60)</f>
        <v>60</v>
      </c>
      <c r="P300">
        <f>_xlfn.IFNA(VLOOKUP($A300,PredictionTable,MATCH(P$1,Analysts,0),FALSE),60)</f>
        <v>60</v>
      </c>
      <c r="V300" s="7" t="s">
        <v>589</v>
      </c>
    </row>
    <row r="301" spans="1:22" x14ac:dyDescent="0.45">
      <c r="A301" s="1" t="s">
        <v>306</v>
      </c>
      <c r="B301" s="1" t="s">
        <v>228</v>
      </c>
      <c r="C301" s="1">
        <f>INDEX(T_Performances,MATCH($A301,T_Names,0))</f>
        <v>0</v>
      </c>
      <c r="D301">
        <v>10.5</v>
      </c>
      <c r="E301" s="1">
        <f>INDEX(T_Avg_PPG,MATCH($A301,T_Names,0))</f>
        <v>3.5</v>
      </c>
      <c r="F301">
        <f>1+COUNTIFS(T_Total,"&gt;"&amp;D301,T_Pos,$B301)</f>
        <v>79</v>
      </c>
      <c r="G301">
        <f>1+COUNTIFS(T_Avg_PPG,"&gt;"&amp;E301,T_Pos,$B301)</f>
        <v>74</v>
      </c>
      <c r="H301">
        <f>_xlfn.IFNA(VLOOKUP($A301,PredictionTable,MATCH(H$1,Analysts,0),FALSE),60)</f>
        <v>60</v>
      </c>
      <c r="I301">
        <f>_xlfn.IFNA(VLOOKUP($A301,PredictionTable,MATCH(I$1,Analysts,0),FALSE),60)</f>
        <v>60</v>
      </c>
      <c r="J301">
        <f>_xlfn.IFNA(VLOOKUP($A301,PredictionTable,MATCH(J$1,Analysts,0),FALSE),60)</f>
        <v>60</v>
      </c>
      <c r="K301">
        <f>_xlfn.IFNA(VLOOKUP($A301,PredictionTable,MATCH(K$1,Analysts,0),FALSE),60)</f>
        <v>60</v>
      </c>
      <c r="L301">
        <f>_xlfn.IFNA(VLOOKUP($A301,PredictionTable,MATCH(L$1,Analysts,0),FALSE),60)</f>
        <v>60</v>
      </c>
      <c r="M301">
        <f>_xlfn.IFNA(VLOOKUP($A301,PredictionTable,MATCH(M$1,Analysts,0),FALSE),60)</f>
        <v>60</v>
      </c>
      <c r="N301">
        <f>_xlfn.IFNA(VLOOKUP($A301,PredictionTable,MATCH(N$1,Analysts,0),FALSE),60)</f>
        <v>60</v>
      </c>
      <c r="O301">
        <f>_xlfn.IFNA(VLOOKUP($A301,PredictionTable,MATCH(O$1,Analysts,0),FALSE),60)</f>
        <v>60</v>
      </c>
      <c r="P301">
        <f>_xlfn.IFNA(VLOOKUP($A301,PredictionTable,MATCH(P$1,Analysts,0),FALSE),60)</f>
        <v>60</v>
      </c>
      <c r="V301" s="7" t="s">
        <v>589</v>
      </c>
    </row>
    <row r="302" spans="1:22" x14ac:dyDescent="0.45">
      <c r="A302" s="1" t="s">
        <v>307</v>
      </c>
      <c r="B302" s="1" t="s">
        <v>228</v>
      </c>
      <c r="C302" s="1">
        <f>INDEX(T_Performances,MATCH($A302,T_Names,0))</f>
        <v>0</v>
      </c>
      <c r="D302">
        <v>10.4</v>
      </c>
      <c r="E302" s="1">
        <f>INDEX(T_Avg_PPG,MATCH($A302,T_Names,0))</f>
        <v>2.08</v>
      </c>
      <c r="F302">
        <f>1+COUNTIFS(T_Total,"&gt;"&amp;D302,T_Pos,$B302)</f>
        <v>80</v>
      </c>
      <c r="G302">
        <f>1+COUNTIFS(T_Avg_PPG,"&gt;"&amp;E302,T_Pos,$B302)</f>
        <v>93</v>
      </c>
      <c r="H302">
        <f>_xlfn.IFNA(VLOOKUP($A302,PredictionTable,MATCH(H$1,Analysts,0),FALSE),60)</f>
        <v>60</v>
      </c>
      <c r="I302">
        <f>_xlfn.IFNA(VLOOKUP($A302,PredictionTable,MATCH(I$1,Analysts,0),FALSE),60)</f>
        <v>60</v>
      </c>
      <c r="J302">
        <f>_xlfn.IFNA(VLOOKUP($A302,PredictionTable,MATCH(J$1,Analysts,0),FALSE),60)</f>
        <v>60</v>
      </c>
      <c r="K302">
        <f>_xlfn.IFNA(VLOOKUP($A302,PredictionTable,MATCH(K$1,Analysts,0),FALSE),60)</f>
        <v>60</v>
      </c>
      <c r="L302">
        <f>_xlfn.IFNA(VLOOKUP($A302,PredictionTable,MATCH(L$1,Analysts,0),FALSE),60)</f>
        <v>60</v>
      </c>
      <c r="M302">
        <f>_xlfn.IFNA(VLOOKUP($A302,PredictionTable,MATCH(M$1,Analysts,0),FALSE),60)</f>
        <v>60</v>
      </c>
      <c r="N302">
        <f>_xlfn.IFNA(VLOOKUP($A302,PredictionTable,MATCH(N$1,Analysts,0),FALSE),60)</f>
        <v>60</v>
      </c>
      <c r="O302">
        <f>_xlfn.IFNA(VLOOKUP($A302,PredictionTable,MATCH(O$1,Analysts,0),FALSE),60)</f>
        <v>60</v>
      </c>
      <c r="P302">
        <f>_xlfn.IFNA(VLOOKUP($A302,PredictionTable,MATCH(P$1,Analysts,0),FALSE),60)</f>
        <v>60</v>
      </c>
      <c r="V302" s="7" t="s">
        <v>589</v>
      </c>
    </row>
    <row r="303" spans="1:22" x14ac:dyDescent="0.45">
      <c r="A303" s="1" t="s">
        <v>308</v>
      </c>
      <c r="B303" s="1" t="s">
        <v>228</v>
      </c>
      <c r="C303" s="1">
        <f>INDEX(T_Performances,MATCH($A303,T_Names,0))</f>
        <v>0</v>
      </c>
      <c r="D303">
        <v>9.8000000000000007</v>
      </c>
      <c r="E303" s="1">
        <f>INDEX(T_Avg_PPG,MATCH($A303,T_Names,0))</f>
        <v>1.9600000000000002</v>
      </c>
      <c r="F303">
        <f>1+COUNTIFS(T_Total,"&gt;"&amp;D303,T_Pos,$B303)</f>
        <v>81</v>
      </c>
      <c r="G303">
        <f>1+COUNTIFS(T_Avg_PPG,"&gt;"&amp;E303,T_Pos,$B303)</f>
        <v>96</v>
      </c>
      <c r="H303">
        <f>_xlfn.IFNA(VLOOKUP($A303,PredictionTable,MATCH(H$1,Analysts,0),FALSE),60)</f>
        <v>60</v>
      </c>
      <c r="I303">
        <f>_xlfn.IFNA(VLOOKUP($A303,PredictionTable,MATCH(I$1,Analysts,0),FALSE),60)</f>
        <v>60</v>
      </c>
      <c r="J303">
        <f>_xlfn.IFNA(VLOOKUP($A303,PredictionTable,MATCH(J$1,Analysts,0),FALSE),60)</f>
        <v>60</v>
      </c>
      <c r="K303">
        <f>_xlfn.IFNA(VLOOKUP($A303,PredictionTable,MATCH(K$1,Analysts,0),FALSE),60)</f>
        <v>60</v>
      </c>
      <c r="L303">
        <f>_xlfn.IFNA(VLOOKUP($A303,PredictionTable,MATCH(L$1,Analysts,0),FALSE),60)</f>
        <v>60</v>
      </c>
      <c r="M303">
        <f>_xlfn.IFNA(VLOOKUP($A303,PredictionTable,MATCH(M$1,Analysts,0),FALSE),60)</f>
        <v>60</v>
      </c>
      <c r="N303">
        <f>_xlfn.IFNA(VLOOKUP($A303,PredictionTable,MATCH(N$1,Analysts,0),FALSE),60)</f>
        <v>60</v>
      </c>
      <c r="O303">
        <f>_xlfn.IFNA(VLOOKUP($A303,PredictionTable,MATCH(O$1,Analysts,0),FALSE),60)</f>
        <v>60</v>
      </c>
      <c r="P303">
        <f>_xlfn.IFNA(VLOOKUP($A303,PredictionTable,MATCH(P$1,Analysts,0),FALSE),60)</f>
        <v>60</v>
      </c>
      <c r="V303" s="7" t="s">
        <v>589</v>
      </c>
    </row>
    <row r="304" spans="1:22" x14ac:dyDescent="0.45">
      <c r="A304" s="1" t="s">
        <v>309</v>
      </c>
      <c r="B304" s="1" t="s">
        <v>228</v>
      </c>
      <c r="C304" s="1">
        <f>INDEX(T_Performances,MATCH($A304,T_Names,0))</f>
        <v>0</v>
      </c>
      <c r="D304">
        <v>9.5</v>
      </c>
      <c r="E304" s="1">
        <f>INDEX(T_Avg_PPG,MATCH($A304,T_Names,0))</f>
        <v>3.1666666666666665</v>
      </c>
      <c r="F304">
        <f>1+COUNTIFS(T_Total,"&gt;"&amp;D304,T_Pos,$B304)</f>
        <v>82</v>
      </c>
      <c r="G304">
        <f>1+COUNTIFS(T_Avg_PPG,"&gt;"&amp;E304,T_Pos,$B304)</f>
        <v>80</v>
      </c>
      <c r="H304">
        <f>_xlfn.IFNA(VLOOKUP($A304,PredictionTable,MATCH(H$1,Analysts,0),FALSE),60)</f>
        <v>60</v>
      </c>
      <c r="I304">
        <f>_xlfn.IFNA(VLOOKUP($A304,PredictionTable,MATCH(I$1,Analysts,0),FALSE),60)</f>
        <v>60</v>
      </c>
      <c r="J304">
        <f>_xlfn.IFNA(VLOOKUP($A304,PredictionTable,MATCH(J$1,Analysts,0),FALSE),60)</f>
        <v>60</v>
      </c>
      <c r="K304">
        <f>_xlfn.IFNA(VLOOKUP($A304,PredictionTable,MATCH(K$1,Analysts,0),FALSE),60)</f>
        <v>60</v>
      </c>
      <c r="L304">
        <f>_xlfn.IFNA(VLOOKUP($A304,PredictionTable,MATCH(L$1,Analysts,0),FALSE),60)</f>
        <v>60</v>
      </c>
      <c r="M304">
        <f>_xlfn.IFNA(VLOOKUP($A304,PredictionTable,MATCH(M$1,Analysts,0),FALSE),60)</f>
        <v>60</v>
      </c>
      <c r="N304">
        <f>_xlfn.IFNA(VLOOKUP($A304,PredictionTable,MATCH(N$1,Analysts,0),FALSE),60)</f>
        <v>60</v>
      </c>
      <c r="O304">
        <f>_xlfn.IFNA(VLOOKUP($A304,PredictionTable,MATCH(O$1,Analysts,0),FALSE),60)</f>
        <v>60</v>
      </c>
      <c r="P304">
        <f>_xlfn.IFNA(VLOOKUP($A304,PredictionTable,MATCH(P$1,Analysts,0),FALSE),60)</f>
        <v>60</v>
      </c>
      <c r="V304" s="7" t="s">
        <v>589</v>
      </c>
    </row>
    <row r="305" spans="1:22" x14ac:dyDescent="0.45">
      <c r="A305" s="1" t="s">
        <v>310</v>
      </c>
      <c r="B305" s="1" t="s">
        <v>228</v>
      </c>
      <c r="C305" s="1">
        <f>INDEX(T_Performances,MATCH($A305,T_Names,0))</f>
        <v>0</v>
      </c>
      <c r="D305">
        <v>8.5</v>
      </c>
      <c r="E305" s="1">
        <f>INDEX(T_Avg_PPG,MATCH($A305,T_Names,0))</f>
        <v>1.7</v>
      </c>
      <c r="F305">
        <f>1+COUNTIFS(T_Total,"&gt;"&amp;D305,T_Pos,$B305)</f>
        <v>83</v>
      </c>
      <c r="G305">
        <f>1+COUNTIFS(T_Avg_PPG,"&gt;"&amp;E305,T_Pos,$B305)</f>
        <v>101</v>
      </c>
      <c r="H305">
        <f>_xlfn.IFNA(VLOOKUP($A305,PredictionTable,MATCH(H$1,Analysts,0),FALSE),60)</f>
        <v>60</v>
      </c>
      <c r="I305">
        <f>_xlfn.IFNA(VLOOKUP($A305,PredictionTable,MATCH(I$1,Analysts,0),FALSE),60)</f>
        <v>60</v>
      </c>
      <c r="J305">
        <f>_xlfn.IFNA(VLOOKUP($A305,PredictionTable,MATCH(J$1,Analysts,0),FALSE),60)</f>
        <v>60</v>
      </c>
      <c r="K305">
        <f>_xlfn.IFNA(VLOOKUP($A305,PredictionTable,MATCH(K$1,Analysts,0),FALSE),60)</f>
        <v>60</v>
      </c>
      <c r="L305">
        <f>_xlfn.IFNA(VLOOKUP($A305,PredictionTable,MATCH(L$1,Analysts,0),FALSE),60)</f>
        <v>60</v>
      </c>
      <c r="M305">
        <f>_xlfn.IFNA(VLOOKUP($A305,PredictionTable,MATCH(M$1,Analysts,0),FALSE),60)</f>
        <v>60</v>
      </c>
      <c r="N305">
        <f>_xlfn.IFNA(VLOOKUP($A305,PredictionTable,MATCH(N$1,Analysts,0),FALSE),60)</f>
        <v>60</v>
      </c>
      <c r="O305">
        <f>_xlfn.IFNA(VLOOKUP($A305,PredictionTable,MATCH(O$1,Analysts,0),FALSE),60)</f>
        <v>60</v>
      </c>
      <c r="P305">
        <f>_xlfn.IFNA(VLOOKUP($A305,PredictionTable,MATCH(P$1,Analysts,0),FALSE),60)</f>
        <v>60</v>
      </c>
      <c r="V305" s="7" t="s">
        <v>589</v>
      </c>
    </row>
    <row r="306" spans="1:22" x14ac:dyDescent="0.45">
      <c r="A306" s="1" t="s">
        <v>311</v>
      </c>
      <c r="B306" s="1" t="s">
        <v>228</v>
      </c>
      <c r="C306" s="1">
        <f>INDEX(T_Performances,MATCH($A306,T_Names,0))</f>
        <v>0</v>
      </c>
      <c r="D306">
        <v>8.1</v>
      </c>
      <c r="E306" s="1">
        <f>INDEX(T_Avg_PPG,MATCH($A306,T_Names,0))</f>
        <v>2.0249999999999999</v>
      </c>
      <c r="F306">
        <f>1+COUNTIFS(T_Total,"&gt;"&amp;D306,T_Pos,$B306)</f>
        <v>84</v>
      </c>
      <c r="G306">
        <f>1+COUNTIFS(T_Avg_PPG,"&gt;"&amp;E306,T_Pos,$B306)</f>
        <v>94</v>
      </c>
      <c r="H306">
        <f>_xlfn.IFNA(VLOOKUP($A306,PredictionTable,MATCH(H$1,Analysts,0),FALSE),60)</f>
        <v>60</v>
      </c>
      <c r="I306">
        <f>_xlfn.IFNA(VLOOKUP($A306,PredictionTable,MATCH(I$1,Analysts,0),FALSE),60)</f>
        <v>60</v>
      </c>
      <c r="J306">
        <f>_xlfn.IFNA(VLOOKUP($A306,PredictionTable,MATCH(J$1,Analysts,0),FALSE),60)</f>
        <v>60</v>
      </c>
      <c r="K306">
        <f>_xlfn.IFNA(VLOOKUP($A306,PredictionTable,MATCH(K$1,Analysts,0),FALSE),60)</f>
        <v>60</v>
      </c>
      <c r="L306">
        <f>_xlfn.IFNA(VLOOKUP($A306,PredictionTable,MATCH(L$1,Analysts,0),FALSE),60)</f>
        <v>60</v>
      </c>
      <c r="M306">
        <f>_xlfn.IFNA(VLOOKUP($A306,PredictionTable,MATCH(M$1,Analysts,0),FALSE),60)</f>
        <v>60</v>
      </c>
      <c r="N306">
        <f>_xlfn.IFNA(VLOOKUP($A306,PredictionTable,MATCH(N$1,Analysts,0),FALSE),60)</f>
        <v>60</v>
      </c>
      <c r="O306">
        <f>_xlfn.IFNA(VLOOKUP($A306,PredictionTable,MATCH(O$1,Analysts,0),FALSE),60)</f>
        <v>60</v>
      </c>
      <c r="P306">
        <f>_xlfn.IFNA(VLOOKUP($A306,PredictionTable,MATCH(P$1,Analysts,0),FALSE),60)</f>
        <v>60</v>
      </c>
      <c r="V306" s="7" t="s">
        <v>589</v>
      </c>
    </row>
    <row r="307" spans="1:22" x14ac:dyDescent="0.45">
      <c r="A307" s="1" t="s">
        <v>312</v>
      </c>
      <c r="B307" s="1" t="s">
        <v>228</v>
      </c>
      <c r="C307" s="1">
        <f>INDEX(T_Performances,MATCH($A307,T_Names,0))</f>
        <v>0</v>
      </c>
      <c r="D307">
        <v>8</v>
      </c>
      <c r="E307" s="1">
        <f>INDEX(T_Avg_PPG,MATCH($A307,T_Names,0))</f>
        <v>2.6666666666666665</v>
      </c>
      <c r="F307">
        <f>1+COUNTIFS(T_Total,"&gt;"&amp;D307,T_Pos,$B307)</f>
        <v>85</v>
      </c>
      <c r="G307">
        <f>1+COUNTIFS(T_Avg_PPG,"&gt;"&amp;E307,T_Pos,$B307)</f>
        <v>85</v>
      </c>
      <c r="H307" t="str">
        <f>_xlfn.IFNA(VLOOKUP($A307,PredictionTable,MATCH(H$1,Analysts,0),FALSE),60)</f>
        <v>NR</v>
      </c>
      <c r="I307">
        <f>_xlfn.IFNA(VLOOKUP($A307,PredictionTable,MATCH(I$1,Analysts,0),FALSE),60)</f>
        <v>23</v>
      </c>
      <c r="J307">
        <f>_xlfn.IFNA(VLOOKUP($A307,PredictionTable,MATCH(J$1,Analysts,0),FALSE),60)</f>
        <v>23</v>
      </c>
      <c r="K307">
        <f>_xlfn.IFNA(VLOOKUP($A307,PredictionTable,MATCH(K$1,Analysts,0),FALSE),60)</f>
        <v>24</v>
      </c>
      <c r="L307" t="str">
        <f>_xlfn.IFNA(VLOOKUP($A307,PredictionTable,MATCH(L$1,Analysts,0),FALSE),60)</f>
        <v>NR</v>
      </c>
      <c r="M307">
        <f>_xlfn.IFNA(VLOOKUP($A307,PredictionTable,MATCH(M$1,Analysts,0),FALSE),60)</f>
        <v>22</v>
      </c>
      <c r="N307">
        <f>_xlfn.IFNA(VLOOKUP($A307,PredictionTable,MATCH(N$1,Analysts,0),FALSE),60)</f>
        <v>19</v>
      </c>
      <c r="O307" t="str">
        <f>_xlfn.IFNA(VLOOKUP($A307,PredictionTable,MATCH(O$1,Analysts,0),FALSE),60)</f>
        <v>NR</v>
      </c>
      <c r="P307">
        <f>_xlfn.IFNA(VLOOKUP($A307,PredictionTable,MATCH(P$1,Analysts,0),FALSE),60)</f>
        <v>23.6</v>
      </c>
      <c r="V307" s="7" t="s">
        <v>589</v>
      </c>
    </row>
    <row r="308" spans="1:22" x14ac:dyDescent="0.45">
      <c r="A308" s="1" t="s">
        <v>313</v>
      </c>
      <c r="B308" s="1" t="s">
        <v>228</v>
      </c>
      <c r="C308" s="1">
        <f>INDEX(T_Performances,MATCH($A308,T_Names,0))</f>
        <v>0</v>
      </c>
      <c r="D308">
        <v>7.6</v>
      </c>
      <c r="E308" s="1">
        <f>INDEX(T_Avg_PPG,MATCH($A308,T_Names,0))</f>
        <v>1.9</v>
      </c>
      <c r="F308">
        <f>1+COUNTIFS(T_Total,"&gt;"&amp;D308,T_Pos,$B308)</f>
        <v>86</v>
      </c>
      <c r="G308">
        <f>1+COUNTIFS(T_Avg_PPG,"&gt;"&amp;E308,T_Pos,$B308)</f>
        <v>97</v>
      </c>
      <c r="H308">
        <f>_xlfn.IFNA(VLOOKUP($A308,PredictionTable,MATCH(H$1,Analysts,0),FALSE),60)</f>
        <v>60</v>
      </c>
      <c r="I308">
        <f>_xlfn.IFNA(VLOOKUP($A308,PredictionTable,MATCH(I$1,Analysts,0),FALSE),60)</f>
        <v>60</v>
      </c>
      <c r="J308">
        <f>_xlfn.IFNA(VLOOKUP($A308,PredictionTable,MATCH(J$1,Analysts,0),FALSE),60)</f>
        <v>60</v>
      </c>
      <c r="K308">
        <f>_xlfn.IFNA(VLOOKUP($A308,PredictionTable,MATCH(K$1,Analysts,0),FALSE),60)</f>
        <v>60</v>
      </c>
      <c r="L308">
        <f>_xlfn.IFNA(VLOOKUP($A308,PredictionTable,MATCH(L$1,Analysts,0),FALSE),60)</f>
        <v>60</v>
      </c>
      <c r="M308">
        <f>_xlfn.IFNA(VLOOKUP($A308,PredictionTable,MATCH(M$1,Analysts,0),FALSE),60)</f>
        <v>60</v>
      </c>
      <c r="N308">
        <f>_xlfn.IFNA(VLOOKUP($A308,PredictionTable,MATCH(N$1,Analysts,0),FALSE),60)</f>
        <v>60</v>
      </c>
      <c r="O308">
        <f>_xlfn.IFNA(VLOOKUP($A308,PredictionTable,MATCH(O$1,Analysts,0),FALSE),60)</f>
        <v>60</v>
      </c>
      <c r="P308">
        <f>_xlfn.IFNA(VLOOKUP($A308,PredictionTable,MATCH(P$1,Analysts,0),FALSE),60)</f>
        <v>60</v>
      </c>
      <c r="V308" s="7" t="s">
        <v>589</v>
      </c>
    </row>
    <row r="309" spans="1:22" x14ac:dyDescent="0.45">
      <c r="A309" s="1" t="s">
        <v>314</v>
      </c>
      <c r="B309" s="1" t="s">
        <v>228</v>
      </c>
      <c r="C309" s="1">
        <f>INDEX(T_Performances,MATCH($A309,T_Names,0))</f>
        <v>0</v>
      </c>
      <c r="D309">
        <v>7.6</v>
      </c>
      <c r="E309" s="1">
        <f>INDEX(T_Avg_PPG,MATCH($A309,T_Names,0))</f>
        <v>2.5333333333333332</v>
      </c>
      <c r="F309">
        <f>1+COUNTIFS(T_Total,"&gt;"&amp;D309,T_Pos,$B309)</f>
        <v>86</v>
      </c>
      <c r="G309">
        <f>1+COUNTIFS(T_Avg_PPG,"&gt;"&amp;E309,T_Pos,$B309)</f>
        <v>88</v>
      </c>
      <c r="H309">
        <f>_xlfn.IFNA(VLOOKUP($A309,PredictionTable,MATCH(H$1,Analysts,0),FALSE),60)</f>
        <v>60</v>
      </c>
      <c r="I309">
        <f>_xlfn.IFNA(VLOOKUP($A309,PredictionTable,MATCH(I$1,Analysts,0),FALSE),60)</f>
        <v>60</v>
      </c>
      <c r="J309">
        <f>_xlfn.IFNA(VLOOKUP($A309,PredictionTable,MATCH(J$1,Analysts,0),FALSE),60)</f>
        <v>60</v>
      </c>
      <c r="K309">
        <f>_xlfn.IFNA(VLOOKUP($A309,PredictionTable,MATCH(K$1,Analysts,0),FALSE),60)</f>
        <v>60</v>
      </c>
      <c r="L309">
        <f>_xlfn.IFNA(VLOOKUP($A309,PredictionTable,MATCH(L$1,Analysts,0),FALSE),60)</f>
        <v>60</v>
      </c>
      <c r="M309">
        <f>_xlfn.IFNA(VLOOKUP($A309,PredictionTable,MATCH(M$1,Analysts,0),FALSE),60)</f>
        <v>60</v>
      </c>
      <c r="N309">
        <f>_xlfn.IFNA(VLOOKUP($A309,PredictionTable,MATCH(N$1,Analysts,0),FALSE),60)</f>
        <v>60</v>
      </c>
      <c r="O309">
        <f>_xlfn.IFNA(VLOOKUP($A309,PredictionTable,MATCH(O$1,Analysts,0),FALSE),60)</f>
        <v>60</v>
      </c>
      <c r="P309">
        <f>_xlfn.IFNA(VLOOKUP($A309,PredictionTable,MATCH(P$1,Analysts,0),FALSE),60)</f>
        <v>60</v>
      </c>
      <c r="V309" s="7" t="s">
        <v>589</v>
      </c>
    </row>
    <row r="310" spans="1:22" x14ac:dyDescent="0.45">
      <c r="A310" s="1" t="s">
        <v>315</v>
      </c>
      <c r="B310" s="1" t="s">
        <v>228</v>
      </c>
      <c r="C310" s="1">
        <f>INDEX(T_Performances,MATCH($A310,T_Names,0))</f>
        <v>0</v>
      </c>
      <c r="D310">
        <v>7.4</v>
      </c>
      <c r="E310" s="1">
        <f>INDEX(T_Avg_PPG,MATCH($A310,T_Names,0))</f>
        <v>1.48</v>
      </c>
      <c r="F310">
        <f>1+COUNTIFS(T_Total,"&gt;"&amp;D310,T_Pos,$B310)</f>
        <v>88</v>
      </c>
      <c r="G310">
        <f>1+COUNTIFS(T_Avg_PPG,"&gt;"&amp;E310,T_Pos,$B310)</f>
        <v>105</v>
      </c>
      <c r="H310">
        <f>_xlfn.IFNA(VLOOKUP($A310,PredictionTable,MATCH(H$1,Analysts,0),FALSE),60)</f>
        <v>60</v>
      </c>
      <c r="I310">
        <f>_xlfn.IFNA(VLOOKUP($A310,PredictionTable,MATCH(I$1,Analysts,0),FALSE),60)</f>
        <v>60</v>
      </c>
      <c r="J310">
        <f>_xlfn.IFNA(VLOOKUP($A310,PredictionTable,MATCH(J$1,Analysts,0),FALSE),60)</f>
        <v>60</v>
      </c>
      <c r="K310">
        <f>_xlfn.IFNA(VLOOKUP($A310,PredictionTable,MATCH(K$1,Analysts,0),FALSE),60)</f>
        <v>60</v>
      </c>
      <c r="L310">
        <f>_xlfn.IFNA(VLOOKUP($A310,PredictionTable,MATCH(L$1,Analysts,0),FALSE),60)</f>
        <v>60</v>
      </c>
      <c r="M310">
        <f>_xlfn.IFNA(VLOOKUP($A310,PredictionTable,MATCH(M$1,Analysts,0),FALSE),60)</f>
        <v>60</v>
      </c>
      <c r="N310">
        <f>_xlfn.IFNA(VLOOKUP($A310,PredictionTable,MATCH(N$1,Analysts,0),FALSE),60)</f>
        <v>60</v>
      </c>
      <c r="O310">
        <f>_xlfn.IFNA(VLOOKUP($A310,PredictionTable,MATCH(O$1,Analysts,0),FALSE),60)</f>
        <v>60</v>
      </c>
      <c r="P310">
        <f>_xlfn.IFNA(VLOOKUP($A310,PredictionTable,MATCH(P$1,Analysts,0),FALSE),60)</f>
        <v>60</v>
      </c>
      <c r="V310" s="7" t="s">
        <v>589</v>
      </c>
    </row>
    <row r="311" spans="1:22" x14ac:dyDescent="0.45">
      <c r="A311" s="1" t="s">
        <v>316</v>
      </c>
      <c r="B311" s="1" t="s">
        <v>228</v>
      </c>
      <c r="C311" s="1">
        <f>INDEX(T_Performances,MATCH($A311,T_Names,0))</f>
        <v>0</v>
      </c>
      <c r="D311">
        <v>7.2</v>
      </c>
      <c r="E311" s="1">
        <f>INDEX(T_Avg_PPG,MATCH($A311,T_Names,0))</f>
        <v>7.2</v>
      </c>
      <c r="F311">
        <f>1+COUNTIFS(T_Total,"&gt;"&amp;D311,T_Pos,$B311)</f>
        <v>89</v>
      </c>
      <c r="G311">
        <f>1+COUNTIFS(T_Avg_PPG,"&gt;"&amp;E311,T_Pos,$B311)</f>
        <v>23</v>
      </c>
      <c r="H311">
        <f>_xlfn.IFNA(VLOOKUP($A311,PredictionTable,MATCH(H$1,Analysts,0),FALSE),60)</f>
        <v>60</v>
      </c>
      <c r="I311">
        <f>_xlfn.IFNA(VLOOKUP($A311,PredictionTable,MATCH(I$1,Analysts,0),FALSE),60)</f>
        <v>60</v>
      </c>
      <c r="J311">
        <f>_xlfn.IFNA(VLOOKUP($A311,PredictionTable,MATCH(J$1,Analysts,0),FALSE),60)</f>
        <v>60</v>
      </c>
      <c r="K311">
        <f>_xlfn.IFNA(VLOOKUP($A311,PredictionTable,MATCH(K$1,Analysts,0),FALSE),60)</f>
        <v>60</v>
      </c>
      <c r="L311">
        <f>_xlfn.IFNA(VLOOKUP($A311,PredictionTable,MATCH(L$1,Analysts,0),FALSE),60)</f>
        <v>60</v>
      </c>
      <c r="M311">
        <f>_xlfn.IFNA(VLOOKUP($A311,PredictionTable,MATCH(M$1,Analysts,0),FALSE),60)</f>
        <v>60</v>
      </c>
      <c r="N311">
        <f>_xlfn.IFNA(VLOOKUP($A311,PredictionTable,MATCH(N$1,Analysts,0),FALSE),60)</f>
        <v>60</v>
      </c>
      <c r="O311">
        <f>_xlfn.IFNA(VLOOKUP($A311,PredictionTable,MATCH(O$1,Analysts,0),FALSE),60)</f>
        <v>60</v>
      </c>
      <c r="P311">
        <f>_xlfn.IFNA(VLOOKUP($A311,PredictionTable,MATCH(P$1,Analysts,0),FALSE),60)</f>
        <v>60</v>
      </c>
      <c r="V311" s="7" t="s">
        <v>589</v>
      </c>
    </row>
    <row r="312" spans="1:22" x14ac:dyDescent="0.45">
      <c r="A312" s="1" t="s">
        <v>317</v>
      </c>
      <c r="B312" s="1" t="s">
        <v>228</v>
      </c>
      <c r="C312" s="1">
        <f>INDEX(T_Performances,MATCH($A312,T_Names,0))</f>
        <v>0</v>
      </c>
      <c r="D312">
        <v>6.9</v>
      </c>
      <c r="E312" s="1">
        <f>INDEX(T_Avg_PPG,MATCH($A312,T_Names,0))</f>
        <v>6.9</v>
      </c>
      <c r="F312">
        <f>1+COUNTIFS(T_Total,"&gt;"&amp;D312,T_Pos,$B312)</f>
        <v>90</v>
      </c>
      <c r="G312">
        <f>1+COUNTIFS(T_Avg_PPG,"&gt;"&amp;E312,T_Pos,$B312)</f>
        <v>25</v>
      </c>
      <c r="H312">
        <f>_xlfn.IFNA(VLOOKUP($A312,PredictionTable,MATCH(H$1,Analysts,0),FALSE),60)</f>
        <v>60</v>
      </c>
      <c r="I312">
        <f>_xlfn.IFNA(VLOOKUP($A312,PredictionTable,MATCH(I$1,Analysts,0),FALSE),60)</f>
        <v>60</v>
      </c>
      <c r="J312">
        <f>_xlfn.IFNA(VLOOKUP($A312,PredictionTable,MATCH(J$1,Analysts,0),FALSE),60)</f>
        <v>60</v>
      </c>
      <c r="K312">
        <f>_xlfn.IFNA(VLOOKUP($A312,PredictionTable,MATCH(K$1,Analysts,0),FALSE),60)</f>
        <v>60</v>
      </c>
      <c r="L312">
        <f>_xlfn.IFNA(VLOOKUP($A312,PredictionTable,MATCH(L$1,Analysts,0),FALSE),60)</f>
        <v>60</v>
      </c>
      <c r="M312">
        <f>_xlfn.IFNA(VLOOKUP($A312,PredictionTable,MATCH(M$1,Analysts,0),FALSE),60)</f>
        <v>60</v>
      </c>
      <c r="N312">
        <f>_xlfn.IFNA(VLOOKUP($A312,PredictionTable,MATCH(N$1,Analysts,0),FALSE),60)</f>
        <v>60</v>
      </c>
      <c r="O312">
        <f>_xlfn.IFNA(VLOOKUP($A312,PredictionTable,MATCH(O$1,Analysts,0),FALSE),60)</f>
        <v>60</v>
      </c>
      <c r="P312">
        <f>_xlfn.IFNA(VLOOKUP($A312,PredictionTable,MATCH(P$1,Analysts,0),FALSE),60)</f>
        <v>60</v>
      </c>
      <c r="V312" s="7" t="s">
        <v>589</v>
      </c>
    </row>
    <row r="313" spans="1:22" x14ac:dyDescent="0.45">
      <c r="A313" s="1" t="s">
        <v>318</v>
      </c>
      <c r="B313" s="1" t="s">
        <v>228</v>
      </c>
      <c r="C313" s="1">
        <f>INDEX(T_Performances,MATCH($A313,T_Names,0))</f>
        <v>0</v>
      </c>
      <c r="D313">
        <v>6.7</v>
      </c>
      <c r="E313" s="1">
        <f>INDEX(T_Avg_PPG,MATCH($A313,T_Names,0))</f>
        <v>2.2333333333333334</v>
      </c>
      <c r="F313">
        <f>1+COUNTIFS(T_Total,"&gt;"&amp;D313,T_Pos,$B313)</f>
        <v>91</v>
      </c>
      <c r="G313">
        <f>1+COUNTIFS(T_Avg_PPG,"&gt;"&amp;E313,T_Pos,$B313)</f>
        <v>91</v>
      </c>
      <c r="H313">
        <f>_xlfn.IFNA(VLOOKUP($A313,PredictionTable,MATCH(H$1,Analysts,0),FALSE),60)</f>
        <v>60</v>
      </c>
      <c r="I313">
        <f>_xlfn.IFNA(VLOOKUP($A313,PredictionTable,MATCH(I$1,Analysts,0),FALSE),60)</f>
        <v>60</v>
      </c>
      <c r="J313">
        <f>_xlfn.IFNA(VLOOKUP($A313,PredictionTable,MATCH(J$1,Analysts,0),FALSE),60)</f>
        <v>60</v>
      </c>
      <c r="K313">
        <f>_xlfn.IFNA(VLOOKUP($A313,PredictionTable,MATCH(K$1,Analysts,0),FALSE),60)</f>
        <v>60</v>
      </c>
      <c r="L313">
        <f>_xlfn.IFNA(VLOOKUP($A313,PredictionTable,MATCH(L$1,Analysts,0),FALSE),60)</f>
        <v>60</v>
      </c>
      <c r="M313">
        <f>_xlfn.IFNA(VLOOKUP($A313,PredictionTable,MATCH(M$1,Analysts,0),FALSE),60)</f>
        <v>60</v>
      </c>
      <c r="N313">
        <f>_xlfn.IFNA(VLOOKUP($A313,PredictionTable,MATCH(N$1,Analysts,0),FALSE),60)</f>
        <v>60</v>
      </c>
      <c r="O313">
        <f>_xlfn.IFNA(VLOOKUP($A313,PredictionTable,MATCH(O$1,Analysts,0),FALSE),60)</f>
        <v>60</v>
      </c>
      <c r="P313">
        <f>_xlfn.IFNA(VLOOKUP($A313,PredictionTable,MATCH(P$1,Analysts,0),FALSE),60)</f>
        <v>60</v>
      </c>
      <c r="V313" s="7" t="s">
        <v>589</v>
      </c>
    </row>
    <row r="314" spans="1:22" x14ac:dyDescent="0.45">
      <c r="A314" s="1" t="s">
        <v>319</v>
      </c>
      <c r="B314" s="1" t="s">
        <v>228</v>
      </c>
      <c r="C314" s="1">
        <f>INDEX(T_Performances,MATCH($A314,T_Names,0))</f>
        <v>0</v>
      </c>
      <c r="D314">
        <v>6.2</v>
      </c>
      <c r="E314" s="1">
        <f>INDEX(T_Avg_PPG,MATCH($A314,T_Names,0))</f>
        <v>6.2</v>
      </c>
      <c r="F314">
        <f>1+COUNTIFS(T_Total,"&gt;"&amp;D314,T_Pos,$B314)</f>
        <v>92</v>
      </c>
      <c r="G314">
        <f>1+COUNTIFS(T_Avg_PPG,"&gt;"&amp;E314,T_Pos,$B314)</f>
        <v>33</v>
      </c>
      <c r="H314">
        <f>_xlfn.IFNA(VLOOKUP($A314,PredictionTable,MATCH(H$1,Analysts,0),FALSE),60)</f>
        <v>60</v>
      </c>
      <c r="I314">
        <f>_xlfn.IFNA(VLOOKUP($A314,PredictionTable,MATCH(I$1,Analysts,0),FALSE),60)</f>
        <v>60</v>
      </c>
      <c r="J314">
        <f>_xlfn.IFNA(VLOOKUP($A314,PredictionTable,MATCH(J$1,Analysts,0),FALSE),60)</f>
        <v>60</v>
      </c>
      <c r="K314">
        <f>_xlfn.IFNA(VLOOKUP($A314,PredictionTable,MATCH(K$1,Analysts,0),FALSE),60)</f>
        <v>60</v>
      </c>
      <c r="L314">
        <f>_xlfn.IFNA(VLOOKUP($A314,PredictionTable,MATCH(L$1,Analysts,0),FALSE),60)</f>
        <v>60</v>
      </c>
      <c r="M314">
        <f>_xlfn.IFNA(VLOOKUP($A314,PredictionTable,MATCH(M$1,Analysts,0),FALSE),60)</f>
        <v>60</v>
      </c>
      <c r="N314">
        <f>_xlfn.IFNA(VLOOKUP($A314,PredictionTable,MATCH(N$1,Analysts,0),FALSE),60)</f>
        <v>60</v>
      </c>
      <c r="O314">
        <f>_xlfn.IFNA(VLOOKUP($A314,PredictionTable,MATCH(O$1,Analysts,0),FALSE),60)</f>
        <v>60</v>
      </c>
      <c r="P314">
        <f>_xlfn.IFNA(VLOOKUP($A314,PredictionTable,MATCH(P$1,Analysts,0),FALSE),60)</f>
        <v>60</v>
      </c>
      <c r="V314" s="7" t="s">
        <v>589</v>
      </c>
    </row>
    <row r="315" spans="1:22" x14ac:dyDescent="0.45">
      <c r="A315" s="1" t="s">
        <v>320</v>
      </c>
      <c r="B315" s="1" t="s">
        <v>228</v>
      </c>
      <c r="C315" s="1">
        <f>INDEX(T_Performances,MATCH($A315,T_Names,0))</f>
        <v>0</v>
      </c>
      <c r="D315">
        <v>5.3</v>
      </c>
      <c r="E315" s="1">
        <f>INDEX(T_Avg_PPG,MATCH($A315,T_Names,0))</f>
        <v>2.65</v>
      </c>
      <c r="F315">
        <f>1+COUNTIFS(T_Total,"&gt;"&amp;D315,T_Pos,$B315)</f>
        <v>93</v>
      </c>
      <c r="G315">
        <f>1+COUNTIFS(T_Avg_PPG,"&gt;"&amp;E315,T_Pos,$B315)</f>
        <v>87</v>
      </c>
      <c r="H315">
        <f>_xlfn.IFNA(VLOOKUP($A315,PredictionTable,MATCH(H$1,Analysts,0),FALSE),60)</f>
        <v>60</v>
      </c>
      <c r="I315">
        <f>_xlfn.IFNA(VLOOKUP($A315,PredictionTable,MATCH(I$1,Analysts,0),FALSE),60)</f>
        <v>60</v>
      </c>
      <c r="J315">
        <f>_xlfn.IFNA(VLOOKUP($A315,PredictionTable,MATCH(J$1,Analysts,0),FALSE),60)</f>
        <v>60</v>
      </c>
      <c r="K315">
        <f>_xlfn.IFNA(VLOOKUP($A315,PredictionTable,MATCH(K$1,Analysts,0),FALSE),60)</f>
        <v>60</v>
      </c>
      <c r="L315">
        <f>_xlfn.IFNA(VLOOKUP($A315,PredictionTable,MATCH(L$1,Analysts,0),FALSE),60)</f>
        <v>60</v>
      </c>
      <c r="M315">
        <f>_xlfn.IFNA(VLOOKUP($A315,PredictionTable,MATCH(M$1,Analysts,0),FALSE),60)</f>
        <v>60</v>
      </c>
      <c r="N315">
        <f>_xlfn.IFNA(VLOOKUP($A315,PredictionTable,MATCH(N$1,Analysts,0),FALSE),60)</f>
        <v>60</v>
      </c>
      <c r="O315">
        <f>_xlfn.IFNA(VLOOKUP($A315,PredictionTable,MATCH(O$1,Analysts,0),FALSE),60)</f>
        <v>60</v>
      </c>
      <c r="P315">
        <f>_xlfn.IFNA(VLOOKUP($A315,PredictionTable,MATCH(P$1,Analysts,0),FALSE),60)</f>
        <v>60</v>
      </c>
      <c r="V315" s="7" t="s">
        <v>589</v>
      </c>
    </row>
    <row r="316" spans="1:22" x14ac:dyDescent="0.45">
      <c r="A316" s="1" t="s">
        <v>321</v>
      </c>
      <c r="B316" s="1" t="s">
        <v>228</v>
      </c>
      <c r="C316" s="1">
        <f>INDEX(T_Performances,MATCH($A316,T_Names,0))</f>
        <v>0</v>
      </c>
      <c r="D316">
        <v>5.3</v>
      </c>
      <c r="E316" s="1">
        <f>INDEX(T_Avg_PPG,MATCH($A316,T_Names,0))</f>
        <v>1.7666666666666666</v>
      </c>
      <c r="F316">
        <f>1+COUNTIFS(T_Total,"&gt;"&amp;D316,T_Pos,$B316)</f>
        <v>93</v>
      </c>
      <c r="G316">
        <f>1+COUNTIFS(T_Avg_PPG,"&gt;"&amp;E316,T_Pos,$B316)</f>
        <v>100</v>
      </c>
      <c r="H316">
        <f>_xlfn.IFNA(VLOOKUP($A316,PredictionTable,MATCH(H$1,Analysts,0),FALSE),60)</f>
        <v>60</v>
      </c>
      <c r="I316">
        <f>_xlfn.IFNA(VLOOKUP($A316,PredictionTable,MATCH(I$1,Analysts,0),FALSE),60)</f>
        <v>60</v>
      </c>
      <c r="J316">
        <f>_xlfn.IFNA(VLOOKUP($A316,PredictionTable,MATCH(J$1,Analysts,0),FALSE),60)</f>
        <v>60</v>
      </c>
      <c r="K316">
        <f>_xlfn.IFNA(VLOOKUP($A316,PredictionTable,MATCH(K$1,Analysts,0),FALSE),60)</f>
        <v>60</v>
      </c>
      <c r="L316">
        <f>_xlfn.IFNA(VLOOKUP($A316,PredictionTable,MATCH(L$1,Analysts,0),FALSE),60)</f>
        <v>60</v>
      </c>
      <c r="M316">
        <f>_xlfn.IFNA(VLOOKUP($A316,PredictionTable,MATCH(M$1,Analysts,0),FALSE),60)</f>
        <v>60</v>
      </c>
      <c r="N316">
        <f>_xlfn.IFNA(VLOOKUP($A316,PredictionTable,MATCH(N$1,Analysts,0),FALSE),60)</f>
        <v>60</v>
      </c>
      <c r="O316">
        <f>_xlfn.IFNA(VLOOKUP($A316,PredictionTable,MATCH(O$1,Analysts,0),FALSE),60)</f>
        <v>60</v>
      </c>
      <c r="P316">
        <f>_xlfn.IFNA(VLOOKUP($A316,PredictionTable,MATCH(P$1,Analysts,0),FALSE),60)</f>
        <v>60</v>
      </c>
      <c r="V316" s="7" t="s">
        <v>589</v>
      </c>
    </row>
    <row r="317" spans="1:22" x14ac:dyDescent="0.45">
      <c r="A317" s="1" t="s">
        <v>322</v>
      </c>
      <c r="B317" s="1" t="s">
        <v>228</v>
      </c>
      <c r="C317" s="1">
        <f>INDEX(T_Performances,MATCH($A317,T_Names,0))</f>
        <v>0</v>
      </c>
      <c r="D317">
        <v>4.9000000000000004</v>
      </c>
      <c r="E317" s="1">
        <f>INDEX(T_Avg_PPG,MATCH($A317,T_Names,0))</f>
        <v>1.6333333333333335</v>
      </c>
      <c r="F317">
        <f>1+COUNTIFS(T_Total,"&gt;"&amp;D317,T_Pos,$B317)</f>
        <v>95</v>
      </c>
      <c r="G317">
        <f>1+COUNTIFS(T_Avg_PPG,"&gt;"&amp;E317,T_Pos,$B317)</f>
        <v>104</v>
      </c>
      <c r="H317">
        <f>_xlfn.IFNA(VLOOKUP($A317,PredictionTable,MATCH(H$1,Analysts,0),FALSE),60)</f>
        <v>60</v>
      </c>
      <c r="I317">
        <f>_xlfn.IFNA(VLOOKUP($A317,PredictionTable,MATCH(I$1,Analysts,0),FALSE),60)</f>
        <v>60</v>
      </c>
      <c r="J317">
        <f>_xlfn.IFNA(VLOOKUP($A317,PredictionTable,MATCH(J$1,Analysts,0),FALSE),60)</f>
        <v>60</v>
      </c>
      <c r="K317">
        <f>_xlfn.IFNA(VLOOKUP($A317,PredictionTable,MATCH(K$1,Analysts,0),FALSE),60)</f>
        <v>60</v>
      </c>
      <c r="L317">
        <f>_xlfn.IFNA(VLOOKUP($A317,PredictionTable,MATCH(L$1,Analysts,0),FALSE),60)</f>
        <v>60</v>
      </c>
      <c r="M317">
        <f>_xlfn.IFNA(VLOOKUP($A317,PredictionTable,MATCH(M$1,Analysts,0),FALSE),60)</f>
        <v>60</v>
      </c>
      <c r="N317">
        <f>_xlfn.IFNA(VLOOKUP($A317,PredictionTable,MATCH(N$1,Analysts,0),FALSE),60)</f>
        <v>60</v>
      </c>
      <c r="O317">
        <f>_xlfn.IFNA(VLOOKUP($A317,PredictionTable,MATCH(O$1,Analysts,0),FALSE),60)</f>
        <v>60</v>
      </c>
      <c r="P317">
        <f>_xlfn.IFNA(VLOOKUP($A317,PredictionTable,MATCH(P$1,Analysts,0),FALSE),60)</f>
        <v>60</v>
      </c>
      <c r="V317" s="7" t="s">
        <v>589</v>
      </c>
    </row>
    <row r="318" spans="1:22" x14ac:dyDescent="0.45">
      <c r="A318" s="1" t="s">
        <v>323</v>
      </c>
      <c r="B318" s="1" t="s">
        <v>228</v>
      </c>
      <c r="C318" s="1">
        <f>INDEX(T_Performances,MATCH($A318,T_Names,0))</f>
        <v>0</v>
      </c>
      <c r="D318">
        <v>3.6</v>
      </c>
      <c r="E318" s="1">
        <f>INDEX(T_Avg_PPG,MATCH($A318,T_Names,0))</f>
        <v>1.8</v>
      </c>
      <c r="F318">
        <f>1+COUNTIFS(T_Total,"&gt;"&amp;D318,T_Pos,$B318)</f>
        <v>96</v>
      </c>
      <c r="G318">
        <f>1+COUNTIFS(T_Avg_PPG,"&gt;"&amp;E318,T_Pos,$B318)</f>
        <v>99</v>
      </c>
      <c r="H318">
        <f>_xlfn.IFNA(VLOOKUP($A318,PredictionTable,MATCH(H$1,Analysts,0),FALSE),60)</f>
        <v>60</v>
      </c>
      <c r="I318">
        <f>_xlfn.IFNA(VLOOKUP($A318,PredictionTable,MATCH(I$1,Analysts,0),FALSE),60)</f>
        <v>60</v>
      </c>
      <c r="J318">
        <f>_xlfn.IFNA(VLOOKUP($A318,PredictionTable,MATCH(J$1,Analysts,0),FALSE),60)</f>
        <v>60</v>
      </c>
      <c r="K318">
        <f>_xlfn.IFNA(VLOOKUP($A318,PredictionTable,MATCH(K$1,Analysts,0),FALSE),60)</f>
        <v>60</v>
      </c>
      <c r="L318">
        <f>_xlfn.IFNA(VLOOKUP($A318,PredictionTable,MATCH(L$1,Analysts,0),FALSE),60)</f>
        <v>60</v>
      </c>
      <c r="M318">
        <f>_xlfn.IFNA(VLOOKUP($A318,PredictionTable,MATCH(M$1,Analysts,0),FALSE),60)</f>
        <v>60</v>
      </c>
      <c r="N318">
        <f>_xlfn.IFNA(VLOOKUP($A318,PredictionTable,MATCH(N$1,Analysts,0),FALSE),60)</f>
        <v>60</v>
      </c>
      <c r="O318">
        <f>_xlfn.IFNA(VLOOKUP($A318,PredictionTable,MATCH(O$1,Analysts,0),FALSE),60)</f>
        <v>60</v>
      </c>
      <c r="P318">
        <f>_xlfn.IFNA(VLOOKUP($A318,PredictionTable,MATCH(P$1,Analysts,0),FALSE),60)</f>
        <v>60</v>
      </c>
      <c r="V318" s="7" t="s">
        <v>589</v>
      </c>
    </row>
    <row r="319" spans="1:22" x14ac:dyDescent="0.45">
      <c r="A319" s="1" t="s">
        <v>324</v>
      </c>
      <c r="B319" s="1" t="s">
        <v>228</v>
      </c>
      <c r="C319" s="1">
        <f>INDEX(T_Performances,MATCH($A319,T_Names,0))</f>
        <v>0</v>
      </c>
      <c r="D319">
        <v>3.1</v>
      </c>
      <c r="E319" s="1">
        <f>INDEX(T_Avg_PPG,MATCH($A319,T_Names,0))</f>
        <v>3.1</v>
      </c>
      <c r="F319">
        <f>1+COUNTIFS(T_Total,"&gt;"&amp;D319,T_Pos,$B319)</f>
        <v>97</v>
      </c>
      <c r="G319">
        <f>1+COUNTIFS(T_Avg_PPG,"&gt;"&amp;E319,T_Pos,$B319)</f>
        <v>81</v>
      </c>
      <c r="H319">
        <f>_xlfn.IFNA(VLOOKUP($A319,PredictionTable,MATCH(H$1,Analysts,0),FALSE),60)</f>
        <v>60</v>
      </c>
      <c r="I319">
        <f>_xlfn.IFNA(VLOOKUP($A319,PredictionTable,MATCH(I$1,Analysts,0),FALSE),60)</f>
        <v>60</v>
      </c>
      <c r="J319">
        <f>_xlfn.IFNA(VLOOKUP($A319,PredictionTable,MATCH(J$1,Analysts,0),FALSE),60)</f>
        <v>60</v>
      </c>
      <c r="K319">
        <f>_xlfn.IFNA(VLOOKUP($A319,PredictionTable,MATCH(K$1,Analysts,0),FALSE),60)</f>
        <v>60</v>
      </c>
      <c r="L319">
        <f>_xlfn.IFNA(VLOOKUP($A319,PredictionTable,MATCH(L$1,Analysts,0),FALSE),60)</f>
        <v>60</v>
      </c>
      <c r="M319">
        <f>_xlfn.IFNA(VLOOKUP($A319,PredictionTable,MATCH(M$1,Analysts,0),FALSE),60)</f>
        <v>60</v>
      </c>
      <c r="N319">
        <f>_xlfn.IFNA(VLOOKUP($A319,PredictionTable,MATCH(N$1,Analysts,0),FALSE),60)</f>
        <v>60</v>
      </c>
      <c r="O319">
        <f>_xlfn.IFNA(VLOOKUP($A319,PredictionTable,MATCH(O$1,Analysts,0),FALSE),60)</f>
        <v>60</v>
      </c>
      <c r="P319">
        <f>_xlfn.IFNA(VLOOKUP($A319,PredictionTable,MATCH(P$1,Analysts,0),FALSE),60)</f>
        <v>60</v>
      </c>
      <c r="V319" s="7" t="s">
        <v>589</v>
      </c>
    </row>
    <row r="320" spans="1:22" x14ac:dyDescent="0.45">
      <c r="A320" s="1" t="s">
        <v>325</v>
      </c>
      <c r="B320" s="1" t="s">
        <v>228</v>
      </c>
      <c r="C320" s="1">
        <f>INDEX(T_Performances,MATCH($A320,T_Names,0))</f>
        <v>0</v>
      </c>
      <c r="D320">
        <v>3</v>
      </c>
      <c r="E320" s="1">
        <f>INDEX(T_Avg_PPG,MATCH($A320,T_Names,0))</f>
        <v>3</v>
      </c>
      <c r="F320">
        <f>1+COUNTIFS(T_Total,"&gt;"&amp;D320,T_Pos,$B320)</f>
        <v>98</v>
      </c>
      <c r="G320">
        <f>1+COUNTIFS(T_Avg_PPG,"&gt;"&amp;E320,T_Pos,$B320)</f>
        <v>82</v>
      </c>
      <c r="H320">
        <f>_xlfn.IFNA(VLOOKUP($A320,PredictionTable,MATCH(H$1,Analysts,0),FALSE),60)</f>
        <v>60</v>
      </c>
      <c r="I320">
        <f>_xlfn.IFNA(VLOOKUP($A320,PredictionTable,MATCH(I$1,Analysts,0),FALSE),60)</f>
        <v>60</v>
      </c>
      <c r="J320">
        <f>_xlfn.IFNA(VLOOKUP($A320,PredictionTable,MATCH(J$1,Analysts,0),FALSE),60)</f>
        <v>60</v>
      </c>
      <c r="K320">
        <f>_xlfn.IFNA(VLOOKUP($A320,PredictionTable,MATCH(K$1,Analysts,0),FALSE),60)</f>
        <v>60</v>
      </c>
      <c r="L320">
        <f>_xlfn.IFNA(VLOOKUP($A320,PredictionTable,MATCH(L$1,Analysts,0),FALSE),60)</f>
        <v>60</v>
      </c>
      <c r="M320">
        <f>_xlfn.IFNA(VLOOKUP($A320,PredictionTable,MATCH(M$1,Analysts,0),FALSE),60)</f>
        <v>60</v>
      </c>
      <c r="N320">
        <f>_xlfn.IFNA(VLOOKUP($A320,PredictionTable,MATCH(N$1,Analysts,0),FALSE),60)</f>
        <v>60</v>
      </c>
      <c r="O320">
        <f>_xlfn.IFNA(VLOOKUP($A320,PredictionTable,MATCH(O$1,Analysts,0),FALSE),60)</f>
        <v>60</v>
      </c>
      <c r="P320">
        <f>_xlfn.IFNA(VLOOKUP($A320,PredictionTable,MATCH(P$1,Analysts,0),FALSE),60)</f>
        <v>60</v>
      </c>
      <c r="V320" s="7" t="s">
        <v>589</v>
      </c>
    </row>
    <row r="321" spans="1:22" x14ac:dyDescent="0.45">
      <c r="A321" s="1" t="s">
        <v>326</v>
      </c>
      <c r="B321" s="1" t="s">
        <v>228</v>
      </c>
      <c r="C321" s="1">
        <f>INDEX(T_Performances,MATCH($A321,T_Names,0))</f>
        <v>0</v>
      </c>
      <c r="D321">
        <v>2.9</v>
      </c>
      <c r="E321" s="1">
        <f>INDEX(T_Avg_PPG,MATCH($A321,T_Names,0))</f>
        <v>2.9</v>
      </c>
      <c r="F321">
        <f>1+COUNTIFS(T_Total,"&gt;"&amp;D321,T_Pos,$B321)</f>
        <v>99</v>
      </c>
      <c r="G321">
        <f>1+COUNTIFS(T_Avg_PPG,"&gt;"&amp;E321,T_Pos,$B321)</f>
        <v>83</v>
      </c>
      <c r="H321">
        <f>_xlfn.IFNA(VLOOKUP($A321,PredictionTable,MATCH(H$1,Analysts,0),FALSE),60)</f>
        <v>60</v>
      </c>
      <c r="I321">
        <f>_xlfn.IFNA(VLOOKUP($A321,PredictionTable,MATCH(I$1,Analysts,0),FALSE),60)</f>
        <v>60</v>
      </c>
      <c r="J321">
        <f>_xlfn.IFNA(VLOOKUP($A321,PredictionTable,MATCH(J$1,Analysts,0),FALSE),60)</f>
        <v>60</v>
      </c>
      <c r="K321">
        <f>_xlfn.IFNA(VLOOKUP($A321,PredictionTable,MATCH(K$1,Analysts,0),FALSE),60)</f>
        <v>60</v>
      </c>
      <c r="L321">
        <f>_xlfn.IFNA(VLOOKUP($A321,PredictionTable,MATCH(L$1,Analysts,0),FALSE),60)</f>
        <v>60</v>
      </c>
      <c r="M321">
        <f>_xlfn.IFNA(VLOOKUP($A321,PredictionTable,MATCH(M$1,Analysts,0),FALSE),60)</f>
        <v>60</v>
      </c>
      <c r="N321">
        <f>_xlfn.IFNA(VLOOKUP($A321,PredictionTable,MATCH(N$1,Analysts,0),FALSE),60)</f>
        <v>60</v>
      </c>
      <c r="O321">
        <f>_xlfn.IFNA(VLOOKUP($A321,PredictionTable,MATCH(O$1,Analysts,0),FALSE),60)</f>
        <v>60</v>
      </c>
      <c r="P321">
        <f>_xlfn.IFNA(VLOOKUP($A321,PredictionTable,MATCH(P$1,Analysts,0),FALSE),60)</f>
        <v>60</v>
      </c>
      <c r="V321" s="7" t="s">
        <v>589</v>
      </c>
    </row>
    <row r="322" spans="1:22" x14ac:dyDescent="0.45">
      <c r="A322" s="1" t="s">
        <v>327</v>
      </c>
      <c r="B322" s="1" t="s">
        <v>228</v>
      </c>
      <c r="C322" s="1">
        <f>INDEX(T_Performances,MATCH($A322,T_Names,0))</f>
        <v>0</v>
      </c>
      <c r="D322">
        <v>2.7</v>
      </c>
      <c r="E322" s="1">
        <f>INDEX(T_Avg_PPG,MATCH($A322,T_Names,0))</f>
        <v>2.7</v>
      </c>
      <c r="F322">
        <f>1+COUNTIFS(T_Total,"&gt;"&amp;D322,T_Pos,$B322)</f>
        <v>100</v>
      </c>
      <c r="G322">
        <f>1+COUNTIFS(T_Avg_PPG,"&gt;"&amp;E322,T_Pos,$B322)</f>
        <v>84</v>
      </c>
      <c r="H322">
        <f>_xlfn.IFNA(VLOOKUP($A322,PredictionTable,MATCH(H$1,Analysts,0),FALSE),60)</f>
        <v>60</v>
      </c>
      <c r="I322">
        <f>_xlfn.IFNA(VLOOKUP($A322,PredictionTable,MATCH(I$1,Analysts,0),FALSE),60)</f>
        <v>60</v>
      </c>
      <c r="J322">
        <f>_xlfn.IFNA(VLOOKUP($A322,PredictionTable,MATCH(J$1,Analysts,0),FALSE),60)</f>
        <v>60</v>
      </c>
      <c r="K322">
        <f>_xlfn.IFNA(VLOOKUP($A322,PredictionTable,MATCH(K$1,Analysts,0),FALSE),60)</f>
        <v>60</v>
      </c>
      <c r="L322">
        <f>_xlfn.IFNA(VLOOKUP($A322,PredictionTable,MATCH(L$1,Analysts,0),FALSE),60)</f>
        <v>60</v>
      </c>
      <c r="M322">
        <f>_xlfn.IFNA(VLOOKUP($A322,PredictionTable,MATCH(M$1,Analysts,0),FALSE),60)</f>
        <v>60</v>
      </c>
      <c r="N322">
        <f>_xlfn.IFNA(VLOOKUP($A322,PredictionTable,MATCH(N$1,Analysts,0),FALSE),60)</f>
        <v>60</v>
      </c>
      <c r="O322">
        <f>_xlfn.IFNA(VLOOKUP($A322,PredictionTable,MATCH(O$1,Analysts,0),FALSE),60)</f>
        <v>60</v>
      </c>
      <c r="P322">
        <f>_xlfn.IFNA(VLOOKUP($A322,PredictionTable,MATCH(P$1,Analysts,0),FALSE),60)</f>
        <v>60</v>
      </c>
      <c r="V322" s="7" t="s">
        <v>589</v>
      </c>
    </row>
    <row r="323" spans="1:22" x14ac:dyDescent="0.45">
      <c r="A323" s="1" t="s">
        <v>328</v>
      </c>
      <c r="B323" s="1" t="s">
        <v>228</v>
      </c>
      <c r="C323" s="1">
        <f>INDEX(T_Performances,MATCH($A323,T_Names,0))</f>
        <v>0</v>
      </c>
      <c r="D323">
        <v>2.2000000000000002</v>
      </c>
      <c r="E323" s="1">
        <f>INDEX(T_Avg_PPG,MATCH($A323,T_Names,0))</f>
        <v>2.2000000000000002</v>
      </c>
      <c r="F323">
        <f>1+COUNTIFS(T_Total,"&gt;"&amp;D323,T_Pos,$B323)</f>
        <v>101</v>
      </c>
      <c r="G323">
        <f>1+COUNTIFS(T_Avg_PPG,"&gt;"&amp;E323,T_Pos,$B323)</f>
        <v>92</v>
      </c>
      <c r="H323">
        <f>_xlfn.IFNA(VLOOKUP($A323,PredictionTable,MATCH(H$1,Analysts,0),FALSE),60)</f>
        <v>60</v>
      </c>
      <c r="I323">
        <f>_xlfn.IFNA(VLOOKUP($A323,PredictionTable,MATCH(I$1,Analysts,0),FALSE),60)</f>
        <v>60</v>
      </c>
      <c r="J323">
        <f>_xlfn.IFNA(VLOOKUP($A323,PredictionTable,MATCH(J$1,Analysts,0),FALSE),60)</f>
        <v>60</v>
      </c>
      <c r="K323">
        <f>_xlfn.IFNA(VLOOKUP($A323,PredictionTable,MATCH(K$1,Analysts,0),FALSE),60)</f>
        <v>60</v>
      </c>
      <c r="L323">
        <f>_xlfn.IFNA(VLOOKUP($A323,PredictionTable,MATCH(L$1,Analysts,0),FALSE),60)</f>
        <v>60</v>
      </c>
      <c r="M323">
        <f>_xlfn.IFNA(VLOOKUP($A323,PredictionTable,MATCH(M$1,Analysts,0),FALSE),60)</f>
        <v>60</v>
      </c>
      <c r="N323">
        <f>_xlfn.IFNA(VLOOKUP($A323,PredictionTable,MATCH(N$1,Analysts,0),FALSE),60)</f>
        <v>60</v>
      </c>
      <c r="O323">
        <f>_xlfn.IFNA(VLOOKUP($A323,PredictionTable,MATCH(O$1,Analysts,0),FALSE),60)</f>
        <v>60</v>
      </c>
      <c r="P323">
        <f>_xlfn.IFNA(VLOOKUP($A323,PredictionTable,MATCH(P$1,Analysts,0),FALSE),60)</f>
        <v>60</v>
      </c>
      <c r="V323" s="7" t="s">
        <v>589</v>
      </c>
    </row>
    <row r="324" spans="1:22" x14ac:dyDescent="0.45">
      <c r="A324" s="1" t="s">
        <v>329</v>
      </c>
      <c r="B324" s="1" t="s">
        <v>228</v>
      </c>
      <c r="C324" s="1">
        <f>INDEX(T_Performances,MATCH($A324,T_Names,0))</f>
        <v>0</v>
      </c>
      <c r="D324">
        <v>2</v>
      </c>
      <c r="E324" s="1">
        <f>INDEX(T_Avg_PPG,MATCH($A324,T_Names,0))</f>
        <v>2</v>
      </c>
      <c r="F324">
        <f>1+COUNTIFS(T_Total,"&gt;"&amp;D324,T_Pos,$B324)</f>
        <v>102</v>
      </c>
      <c r="G324">
        <f>1+COUNTIFS(T_Avg_PPG,"&gt;"&amp;E324,T_Pos,$B324)</f>
        <v>95</v>
      </c>
      <c r="H324">
        <f>_xlfn.IFNA(VLOOKUP($A324,PredictionTable,MATCH(H$1,Analysts,0),FALSE),60)</f>
        <v>60</v>
      </c>
      <c r="I324">
        <f>_xlfn.IFNA(VLOOKUP($A324,PredictionTable,MATCH(I$1,Analysts,0),FALSE),60)</f>
        <v>60</v>
      </c>
      <c r="J324">
        <f>_xlfn.IFNA(VLOOKUP($A324,PredictionTable,MATCH(J$1,Analysts,0),FALSE),60)</f>
        <v>60</v>
      </c>
      <c r="K324">
        <f>_xlfn.IFNA(VLOOKUP($A324,PredictionTable,MATCH(K$1,Analysts,0),FALSE),60)</f>
        <v>60</v>
      </c>
      <c r="L324">
        <f>_xlfn.IFNA(VLOOKUP($A324,PredictionTable,MATCH(L$1,Analysts,0),FALSE),60)</f>
        <v>60</v>
      </c>
      <c r="M324">
        <f>_xlfn.IFNA(VLOOKUP($A324,PredictionTable,MATCH(M$1,Analysts,0),FALSE),60)</f>
        <v>60</v>
      </c>
      <c r="N324">
        <f>_xlfn.IFNA(VLOOKUP($A324,PredictionTable,MATCH(N$1,Analysts,0),FALSE),60)</f>
        <v>60</v>
      </c>
      <c r="O324">
        <f>_xlfn.IFNA(VLOOKUP($A324,PredictionTable,MATCH(O$1,Analysts,0),FALSE),60)</f>
        <v>60</v>
      </c>
      <c r="P324">
        <f>_xlfn.IFNA(VLOOKUP($A324,PredictionTable,MATCH(P$1,Analysts,0),FALSE),60)</f>
        <v>60</v>
      </c>
      <c r="V324" s="7" t="s">
        <v>589</v>
      </c>
    </row>
    <row r="325" spans="1:22" x14ac:dyDescent="0.45">
      <c r="A325" s="1" t="s">
        <v>330</v>
      </c>
      <c r="B325" s="1" t="s">
        <v>228</v>
      </c>
      <c r="C325" s="1">
        <f>INDEX(T_Performances,MATCH($A325,T_Names,0))</f>
        <v>0</v>
      </c>
      <c r="D325">
        <v>1.9</v>
      </c>
      <c r="E325" s="1">
        <f>INDEX(T_Avg_PPG,MATCH($A325,T_Names,0))</f>
        <v>1.9</v>
      </c>
      <c r="F325">
        <f>1+COUNTIFS(T_Total,"&gt;"&amp;D325,T_Pos,$B325)</f>
        <v>103</v>
      </c>
      <c r="G325">
        <f>1+COUNTIFS(T_Avg_PPG,"&gt;"&amp;E325,T_Pos,$B325)</f>
        <v>97</v>
      </c>
      <c r="H325">
        <f>_xlfn.IFNA(VLOOKUP($A325,PredictionTable,MATCH(H$1,Analysts,0),FALSE),60)</f>
        <v>60</v>
      </c>
      <c r="I325">
        <f>_xlfn.IFNA(VLOOKUP($A325,PredictionTable,MATCH(I$1,Analysts,0),FALSE),60)</f>
        <v>60</v>
      </c>
      <c r="J325">
        <f>_xlfn.IFNA(VLOOKUP($A325,PredictionTable,MATCH(J$1,Analysts,0),FALSE),60)</f>
        <v>60</v>
      </c>
      <c r="K325">
        <f>_xlfn.IFNA(VLOOKUP($A325,PredictionTable,MATCH(K$1,Analysts,0),FALSE),60)</f>
        <v>60</v>
      </c>
      <c r="L325">
        <f>_xlfn.IFNA(VLOOKUP($A325,PredictionTable,MATCH(L$1,Analysts,0),FALSE),60)</f>
        <v>60</v>
      </c>
      <c r="M325">
        <f>_xlfn.IFNA(VLOOKUP($A325,PredictionTable,MATCH(M$1,Analysts,0),FALSE),60)</f>
        <v>60</v>
      </c>
      <c r="N325">
        <f>_xlfn.IFNA(VLOOKUP($A325,PredictionTable,MATCH(N$1,Analysts,0),FALSE),60)</f>
        <v>60</v>
      </c>
      <c r="O325">
        <f>_xlfn.IFNA(VLOOKUP($A325,PredictionTable,MATCH(O$1,Analysts,0),FALSE),60)</f>
        <v>60</v>
      </c>
      <c r="P325">
        <f>_xlfn.IFNA(VLOOKUP($A325,PredictionTable,MATCH(P$1,Analysts,0),FALSE),60)</f>
        <v>60</v>
      </c>
      <c r="V325" s="7" t="s">
        <v>589</v>
      </c>
    </row>
    <row r="326" spans="1:22" x14ac:dyDescent="0.45">
      <c r="A326" s="1" t="s">
        <v>331</v>
      </c>
      <c r="B326" s="1" t="s">
        <v>228</v>
      </c>
      <c r="C326" s="1">
        <f>INDEX(T_Performances,MATCH($A326,T_Names,0))</f>
        <v>0</v>
      </c>
      <c r="D326">
        <v>1.7</v>
      </c>
      <c r="E326" s="1">
        <f>INDEX(T_Avg_PPG,MATCH($A326,T_Names,0))</f>
        <v>1.7</v>
      </c>
      <c r="F326">
        <f>1+COUNTIFS(T_Total,"&gt;"&amp;D326,T_Pos,$B326)</f>
        <v>104</v>
      </c>
      <c r="G326">
        <f>1+COUNTIFS(T_Avg_PPG,"&gt;"&amp;E326,T_Pos,$B326)</f>
        <v>101</v>
      </c>
      <c r="H326">
        <f>_xlfn.IFNA(VLOOKUP($A326,PredictionTable,MATCH(H$1,Analysts,0),FALSE),60)</f>
        <v>60</v>
      </c>
      <c r="I326">
        <f>_xlfn.IFNA(VLOOKUP($A326,PredictionTable,MATCH(I$1,Analysts,0),FALSE),60)</f>
        <v>60</v>
      </c>
      <c r="J326">
        <f>_xlfn.IFNA(VLOOKUP($A326,PredictionTable,MATCH(J$1,Analysts,0),FALSE),60)</f>
        <v>60</v>
      </c>
      <c r="K326">
        <f>_xlfn.IFNA(VLOOKUP($A326,PredictionTable,MATCH(K$1,Analysts,0),FALSE),60)</f>
        <v>60</v>
      </c>
      <c r="L326">
        <f>_xlfn.IFNA(VLOOKUP($A326,PredictionTable,MATCH(L$1,Analysts,0),FALSE),60)</f>
        <v>60</v>
      </c>
      <c r="M326">
        <f>_xlfn.IFNA(VLOOKUP($A326,PredictionTable,MATCH(M$1,Analysts,0),FALSE),60)</f>
        <v>60</v>
      </c>
      <c r="N326">
        <f>_xlfn.IFNA(VLOOKUP($A326,PredictionTable,MATCH(N$1,Analysts,0),FALSE),60)</f>
        <v>60</v>
      </c>
      <c r="O326">
        <f>_xlfn.IFNA(VLOOKUP($A326,PredictionTable,MATCH(O$1,Analysts,0),FALSE),60)</f>
        <v>60</v>
      </c>
      <c r="P326">
        <f>_xlfn.IFNA(VLOOKUP($A326,PredictionTable,MATCH(P$1,Analysts,0),FALSE),60)</f>
        <v>60</v>
      </c>
      <c r="V326" s="7" t="s">
        <v>589</v>
      </c>
    </row>
    <row r="327" spans="1:22" x14ac:dyDescent="0.45">
      <c r="A327" s="1" t="s">
        <v>332</v>
      </c>
      <c r="B327" s="1" t="s">
        <v>228</v>
      </c>
      <c r="C327" s="1">
        <f>INDEX(T_Performances,MATCH($A327,T_Names,0))</f>
        <v>0</v>
      </c>
      <c r="D327">
        <v>1.7</v>
      </c>
      <c r="E327" s="1">
        <f>INDEX(T_Avg_PPG,MATCH($A327,T_Names,0))</f>
        <v>1.7</v>
      </c>
      <c r="F327">
        <f>1+COUNTIFS(T_Total,"&gt;"&amp;D327,T_Pos,$B327)</f>
        <v>104</v>
      </c>
      <c r="G327">
        <f>1+COUNTIFS(T_Avg_PPG,"&gt;"&amp;E327,T_Pos,$B327)</f>
        <v>101</v>
      </c>
      <c r="H327">
        <f>_xlfn.IFNA(VLOOKUP($A327,PredictionTable,MATCH(H$1,Analysts,0),FALSE),60)</f>
        <v>60</v>
      </c>
      <c r="I327">
        <f>_xlfn.IFNA(VLOOKUP($A327,PredictionTable,MATCH(I$1,Analysts,0),FALSE),60)</f>
        <v>60</v>
      </c>
      <c r="J327">
        <f>_xlfn.IFNA(VLOOKUP($A327,PredictionTable,MATCH(J$1,Analysts,0),FALSE),60)</f>
        <v>60</v>
      </c>
      <c r="K327">
        <f>_xlfn.IFNA(VLOOKUP($A327,PredictionTable,MATCH(K$1,Analysts,0),FALSE),60)</f>
        <v>60</v>
      </c>
      <c r="L327">
        <f>_xlfn.IFNA(VLOOKUP($A327,PredictionTable,MATCH(L$1,Analysts,0),FALSE),60)</f>
        <v>60</v>
      </c>
      <c r="M327">
        <f>_xlfn.IFNA(VLOOKUP($A327,PredictionTable,MATCH(M$1,Analysts,0),FALSE),60)</f>
        <v>60</v>
      </c>
      <c r="N327">
        <f>_xlfn.IFNA(VLOOKUP($A327,PredictionTable,MATCH(N$1,Analysts,0),FALSE),60)</f>
        <v>60</v>
      </c>
      <c r="O327">
        <f>_xlfn.IFNA(VLOOKUP($A327,PredictionTable,MATCH(O$1,Analysts,0),FALSE),60)</f>
        <v>60</v>
      </c>
      <c r="P327">
        <f>_xlfn.IFNA(VLOOKUP($A327,PredictionTable,MATCH(P$1,Analysts,0),FALSE),60)</f>
        <v>60</v>
      </c>
      <c r="V327" s="7" t="s">
        <v>589</v>
      </c>
    </row>
    <row r="328" spans="1:22" x14ac:dyDescent="0.45">
      <c r="A328" s="1" t="s">
        <v>333</v>
      </c>
      <c r="B328" s="1" t="s">
        <v>228</v>
      </c>
      <c r="C328" s="1">
        <f>INDEX(T_Performances,MATCH($A328,T_Names,0))</f>
        <v>0</v>
      </c>
      <c r="D328">
        <v>1.2</v>
      </c>
      <c r="E328" s="1">
        <f>INDEX(T_Avg_PPG,MATCH($A328,T_Names,0))</f>
        <v>1.2</v>
      </c>
      <c r="F328">
        <f>1+COUNTIFS(T_Total,"&gt;"&amp;D328,T_Pos,$B328)</f>
        <v>106</v>
      </c>
      <c r="G328">
        <f>1+COUNTIFS(T_Avg_PPG,"&gt;"&amp;E328,T_Pos,$B328)</f>
        <v>106</v>
      </c>
      <c r="H328">
        <f>_xlfn.IFNA(VLOOKUP($A328,PredictionTable,MATCH(H$1,Analysts,0),FALSE),60)</f>
        <v>60</v>
      </c>
      <c r="I328">
        <f>_xlfn.IFNA(VLOOKUP($A328,PredictionTable,MATCH(I$1,Analysts,0),FALSE),60)</f>
        <v>60</v>
      </c>
      <c r="J328">
        <f>_xlfn.IFNA(VLOOKUP($A328,PredictionTable,MATCH(J$1,Analysts,0),FALSE),60)</f>
        <v>60</v>
      </c>
      <c r="K328">
        <f>_xlfn.IFNA(VLOOKUP($A328,PredictionTable,MATCH(K$1,Analysts,0),FALSE),60)</f>
        <v>60</v>
      </c>
      <c r="L328">
        <f>_xlfn.IFNA(VLOOKUP($A328,PredictionTable,MATCH(L$1,Analysts,0),FALSE),60)</f>
        <v>60</v>
      </c>
      <c r="M328">
        <f>_xlfn.IFNA(VLOOKUP($A328,PredictionTable,MATCH(M$1,Analysts,0),FALSE),60)</f>
        <v>60</v>
      </c>
      <c r="N328">
        <f>_xlfn.IFNA(VLOOKUP($A328,PredictionTable,MATCH(N$1,Analysts,0),FALSE),60)</f>
        <v>60</v>
      </c>
      <c r="O328">
        <f>_xlfn.IFNA(VLOOKUP($A328,PredictionTable,MATCH(O$1,Analysts,0),FALSE),60)</f>
        <v>60</v>
      </c>
      <c r="P328">
        <f>_xlfn.IFNA(VLOOKUP($A328,PredictionTable,MATCH(P$1,Analysts,0),FALSE),60)</f>
        <v>60</v>
      </c>
      <c r="V328" s="7" t="s">
        <v>589</v>
      </c>
    </row>
    <row r="329" spans="1:22" x14ac:dyDescent="0.45">
      <c r="A329" s="1" t="s">
        <v>334</v>
      </c>
      <c r="B329" s="1" t="s">
        <v>228</v>
      </c>
      <c r="C329" s="1">
        <f>INDEX(T_Performances,MATCH($A329,T_Names,0))</f>
        <v>0</v>
      </c>
      <c r="D329">
        <v>1.2</v>
      </c>
      <c r="E329" s="1">
        <f>INDEX(T_Avg_PPG,MATCH($A329,T_Names,0))</f>
        <v>1.2</v>
      </c>
      <c r="F329">
        <f>1+COUNTIFS(T_Total,"&gt;"&amp;D329,T_Pos,$B329)</f>
        <v>106</v>
      </c>
      <c r="G329">
        <f>1+COUNTIFS(T_Avg_PPG,"&gt;"&amp;E329,T_Pos,$B329)</f>
        <v>106</v>
      </c>
      <c r="H329">
        <f>_xlfn.IFNA(VLOOKUP($A329,PredictionTable,MATCH(H$1,Analysts,0),FALSE),60)</f>
        <v>60</v>
      </c>
      <c r="I329">
        <f>_xlfn.IFNA(VLOOKUP($A329,PredictionTable,MATCH(I$1,Analysts,0),FALSE),60)</f>
        <v>60</v>
      </c>
      <c r="J329">
        <f>_xlfn.IFNA(VLOOKUP($A329,PredictionTable,MATCH(J$1,Analysts,0),FALSE),60)</f>
        <v>60</v>
      </c>
      <c r="K329">
        <f>_xlfn.IFNA(VLOOKUP($A329,PredictionTable,MATCH(K$1,Analysts,0),FALSE),60)</f>
        <v>60</v>
      </c>
      <c r="L329">
        <f>_xlfn.IFNA(VLOOKUP($A329,PredictionTable,MATCH(L$1,Analysts,0),FALSE),60)</f>
        <v>60</v>
      </c>
      <c r="M329">
        <f>_xlfn.IFNA(VLOOKUP($A329,PredictionTable,MATCH(M$1,Analysts,0),FALSE),60)</f>
        <v>60</v>
      </c>
      <c r="N329">
        <f>_xlfn.IFNA(VLOOKUP($A329,PredictionTable,MATCH(N$1,Analysts,0),FALSE),60)</f>
        <v>60</v>
      </c>
      <c r="O329">
        <f>_xlfn.IFNA(VLOOKUP($A329,PredictionTable,MATCH(O$1,Analysts,0),FALSE),60)</f>
        <v>60</v>
      </c>
      <c r="P329">
        <f>_xlfn.IFNA(VLOOKUP($A329,PredictionTable,MATCH(P$1,Analysts,0),FALSE),60)</f>
        <v>60</v>
      </c>
      <c r="V329" s="7" t="s">
        <v>589</v>
      </c>
    </row>
    <row r="330" spans="1:22" x14ac:dyDescent="0.45">
      <c r="A330" s="1" t="s">
        <v>335</v>
      </c>
      <c r="B330" s="1" t="s">
        <v>228</v>
      </c>
      <c r="C330" s="1">
        <f>INDEX(T_Performances,MATCH($A330,T_Names,0))</f>
        <v>0</v>
      </c>
      <c r="D330">
        <v>1.2</v>
      </c>
      <c r="E330" s="1">
        <f>INDEX(T_Avg_PPG,MATCH($A330,T_Names,0))</f>
        <v>1.2</v>
      </c>
      <c r="F330">
        <f>1+COUNTIFS(T_Total,"&gt;"&amp;D330,T_Pos,$B330)</f>
        <v>106</v>
      </c>
      <c r="G330">
        <f>1+COUNTIFS(T_Avg_PPG,"&gt;"&amp;E330,T_Pos,$B330)</f>
        <v>106</v>
      </c>
      <c r="H330">
        <f>_xlfn.IFNA(VLOOKUP($A330,PredictionTable,MATCH(H$1,Analysts,0),FALSE),60)</f>
        <v>60</v>
      </c>
      <c r="I330">
        <f>_xlfn.IFNA(VLOOKUP($A330,PredictionTable,MATCH(I$1,Analysts,0),FALSE),60)</f>
        <v>60</v>
      </c>
      <c r="J330">
        <f>_xlfn.IFNA(VLOOKUP($A330,PredictionTable,MATCH(J$1,Analysts,0),FALSE),60)</f>
        <v>60</v>
      </c>
      <c r="K330">
        <f>_xlfn.IFNA(VLOOKUP($A330,PredictionTable,MATCH(K$1,Analysts,0),FALSE),60)</f>
        <v>60</v>
      </c>
      <c r="L330">
        <f>_xlfn.IFNA(VLOOKUP($A330,PredictionTable,MATCH(L$1,Analysts,0),FALSE),60)</f>
        <v>60</v>
      </c>
      <c r="M330">
        <f>_xlfn.IFNA(VLOOKUP($A330,PredictionTable,MATCH(M$1,Analysts,0),FALSE),60)</f>
        <v>60</v>
      </c>
      <c r="N330">
        <f>_xlfn.IFNA(VLOOKUP($A330,PredictionTable,MATCH(N$1,Analysts,0),FALSE),60)</f>
        <v>60</v>
      </c>
      <c r="O330">
        <f>_xlfn.IFNA(VLOOKUP($A330,PredictionTable,MATCH(O$1,Analysts,0),FALSE),60)</f>
        <v>60</v>
      </c>
      <c r="P330">
        <f>_xlfn.IFNA(VLOOKUP($A330,PredictionTable,MATCH(P$1,Analysts,0),FALSE),60)</f>
        <v>60</v>
      </c>
      <c r="V330" s="7" t="s">
        <v>589</v>
      </c>
    </row>
    <row r="331" spans="1:22" x14ac:dyDescent="0.45">
      <c r="A331" s="1" t="s">
        <v>336</v>
      </c>
      <c r="B331" s="1" t="s">
        <v>228</v>
      </c>
      <c r="C331" s="1">
        <f>INDEX(T_Performances,MATCH($A331,T_Names,0))</f>
        <v>0</v>
      </c>
      <c r="D331">
        <v>1.1000000000000001</v>
      </c>
      <c r="E331" s="1">
        <f>INDEX(T_Avg_PPG,MATCH($A331,T_Names,0))</f>
        <v>1.1000000000000001</v>
      </c>
      <c r="F331">
        <f>1+COUNTIFS(T_Total,"&gt;"&amp;D331,T_Pos,$B331)</f>
        <v>109</v>
      </c>
      <c r="G331">
        <f>1+COUNTIFS(T_Avg_PPG,"&gt;"&amp;E331,T_Pos,$B331)</f>
        <v>109</v>
      </c>
      <c r="H331">
        <f>_xlfn.IFNA(VLOOKUP($A331,PredictionTable,MATCH(H$1,Analysts,0),FALSE),60)</f>
        <v>60</v>
      </c>
      <c r="I331">
        <f>_xlfn.IFNA(VLOOKUP($A331,PredictionTable,MATCH(I$1,Analysts,0),FALSE),60)</f>
        <v>60</v>
      </c>
      <c r="J331">
        <f>_xlfn.IFNA(VLOOKUP($A331,PredictionTable,MATCH(J$1,Analysts,0),FALSE),60)</f>
        <v>60</v>
      </c>
      <c r="K331">
        <f>_xlfn.IFNA(VLOOKUP($A331,PredictionTable,MATCH(K$1,Analysts,0),FALSE),60)</f>
        <v>60</v>
      </c>
      <c r="L331">
        <f>_xlfn.IFNA(VLOOKUP($A331,PredictionTable,MATCH(L$1,Analysts,0),FALSE),60)</f>
        <v>60</v>
      </c>
      <c r="M331">
        <f>_xlfn.IFNA(VLOOKUP($A331,PredictionTable,MATCH(M$1,Analysts,0),FALSE),60)</f>
        <v>60</v>
      </c>
      <c r="N331">
        <f>_xlfn.IFNA(VLOOKUP($A331,PredictionTable,MATCH(N$1,Analysts,0),FALSE),60)</f>
        <v>60</v>
      </c>
      <c r="O331">
        <f>_xlfn.IFNA(VLOOKUP($A331,PredictionTable,MATCH(O$1,Analysts,0),FALSE),60)</f>
        <v>60</v>
      </c>
      <c r="P331">
        <f>_xlfn.IFNA(VLOOKUP($A331,PredictionTable,MATCH(P$1,Analysts,0),FALSE),60)</f>
        <v>60</v>
      </c>
      <c r="V331" s="7" t="s">
        <v>589</v>
      </c>
    </row>
    <row r="332" spans="1:22" x14ac:dyDescent="0.45">
      <c r="A332" s="1" t="s">
        <v>337</v>
      </c>
      <c r="B332" s="1" t="s">
        <v>228</v>
      </c>
      <c r="C332" s="1">
        <f>INDEX(T_Performances,MATCH($A332,T_Names,0))</f>
        <v>0</v>
      </c>
      <c r="D332">
        <v>1</v>
      </c>
      <c r="E332" s="1">
        <f>INDEX(T_Avg_PPG,MATCH($A332,T_Names,0))</f>
        <v>1</v>
      </c>
      <c r="F332">
        <f>1+COUNTIFS(T_Total,"&gt;"&amp;D332,T_Pos,$B332)</f>
        <v>110</v>
      </c>
      <c r="G332">
        <f>1+COUNTIFS(T_Avg_PPG,"&gt;"&amp;E332,T_Pos,$B332)</f>
        <v>110</v>
      </c>
      <c r="H332">
        <f>_xlfn.IFNA(VLOOKUP($A332,PredictionTable,MATCH(H$1,Analysts,0),FALSE),60)</f>
        <v>60</v>
      </c>
      <c r="I332">
        <f>_xlfn.IFNA(VLOOKUP($A332,PredictionTable,MATCH(I$1,Analysts,0),FALSE),60)</f>
        <v>60</v>
      </c>
      <c r="J332">
        <f>_xlfn.IFNA(VLOOKUP($A332,PredictionTable,MATCH(J$1,Analysts,0),FALSE),60)</f>
        <v>60</v>
      </c>
      <c r="K332">
        <f>_xlfn.IFNA(VLOOKUP($A332,PredictionTable,MATCH(K$1,Analysts,0),FALSE),60)</f>
        <v>60</v>
      </c>
      <c r="L332">
        <f>_xlfn.IFNA(VLOOKUP($A332,PredictionTable,MATCH(L$1,Analysts,0),FALSE),60)</f>
        <v>60</v>
      </c>
      <c r="M332">
        <f>_xlfn.IFNA(VLOOKUP($A332,PredictionTable,MATCH(M$1,Analysts,0),FALSE),60)</f>
        <v>60</v>
      </c>
      <c r="N332">
        <f>_xlfn.IFNA(VLOOKUP($A332,PredictionTable,MATCH(N$1,Analysts,0),FALSE),60)</f>
        <v>60</v>
      </c>
      <c r="O332">
        <f>_xlfn.IFNA(VLOOKUP($A332,PredictionTable,MATCH(O$1,Analysts,0),FALSE),60)</f>
        <v>60</v>
      </c>
      <c r="P332">
        <f>_xlfn.IFNA(VLOOKUP($A332,PredictionTable,MATCH(P$1,Analysts,0),FALSE),60)</f>
        <v>60</v>
      </c>
      <c r="V332" s="7" t="s">
        <v>589</v>
      </c>
    </row>
    <row r="333" spans="1:22" x14ac:dyDescent="0.45">
      <c r="A333" s="1" t="s">
        <v>338</v>
      </c>
      <c r="B333" s="1" t="s">
        <v>228</v>
      </c>
      <c r="C333" s="1">
        <f>INDEX(T_Performances,MATCH($A333,T_Names,0))</f>
        <v>0</v>
      </c>
      <c r="D333">
        <v>1</v>
      </c>
      <c r="E333" s="1">
        <f>INDEX(T_Avg_PPG,MATCH($A333,T_Names,0))</f>
        <v>1</v>
      </c>
      <c r="F333">
        <f>1+COUNTIFS(T_Total,"&gt;"&amp;D333,T_Pos,$B333)</f>
        <v>110</v>
      </c>
      <c r="G333">
        <f>1+COUNTIFS(T_Avg_PPG,"&gt;"&amp;E333,T_Pos,$B333)</f>
        <v>110</v>
      </c>
      <c r="H333">
        <f>_xlfn.IFNA(VLOOKUP($A333,PredictionTable,MATCH(H$1,Analysts,0),FALSE),60)</f>
        <v>60</v>
      </c>
      <c r="I333">
        <f>_xlfn.IFNA(VLOOKUP($A333,PredictionTable,MATCH(I$1,Analysts,0),FALSE),60)</f>
        <v>60</v>
      </c>
      <c r="J333">
        <f>_xlfn.IFNA(VLOOKUP($A333,PredictionTable,MATCH(J$1,Analysts,0),FALSE),60)</f>
        <v>60</v>
      </c>
      <c r="K333">
        <f>_xlfn.IFNA(VLOOKUP($A333,PredictionTable,MATCH(K$1,Analysts,0),FALSE),60)</f>
        <v>60</v>
      </c>
      <c r="L333">
        <f>_xlfn.IFNA(VLOOKUP($A333,PredictionTable,MATCH(L$1,Analysts,0),FALSE),60)</f>
        <v>60</v>
      </c>
      <c r="M333">
        <f>_xlfn.IFNA(VLOOKUP($A333,PredictionTable,MATCH(M$1,Analysts,0),FALSE),60)</f>
        <v>60</v>
      </c>
      <c r="N333">
        <f>_xlfn.IFNA(VLOOKUP($A333,PredictionTable,MATCH(N$1,Analysts,0),FALSE),60)</f>
        <v>60</v>
      </c>
      <c r="O333">
        <f>_xlfn.IFNA(VLOOKUP($A333,PredictionTable,MATCH(O$1,Analysts,0),FALSE),60)</f>
        <v>60</v>
      </c>
      <c r="P333">
        <f>_xlfn.IFNA(VLOOKUP($A333,PredictionTable,MATCH(P$1,Analysts,0),FALSE),60)</f>
        <v>60</v>
      </c>
      <c r="V333" s="7" t="s">
        <v>589</v>
      </c>
    </row>
    <row r="334" spans="1:22" x14ac:dyDescent="0.45">
      <c r="A334" s="1" t="s">
        <v>339</v>
      </c>
      <c r="B334" s="1" t="s">
        <v>228</v>
      </c>
      <c r="C334" s="1">
        <f>INDEX(T_Performances,MATCH($A334,T_Names,0))</f>
        <v>0</v>
      </c>
      <c r="D334">
        <v>1</v>
      </c>
      <c r="E334" s="1">
        <f>INDEX(T_Avg_PPG,MATCH($A334,T_Names,0))</f>
        <v>1</v>
      </c>
      <c r="F334">
        <f>1+COUNTIFS(T_Total,"&gt;"&amp;D334,T_Pos,$B334)</f>
        <v>110</v>
      </c>
      <c r="G334">
        <f>1+COUNTIFS(T_Avg_PPG,"&gt;"&amp;E334,T_Pos,$B334)</f>
        <v>110</v>
      </c>
      <c r="H334">
        <f>_xlfn.IFNA(VLOOKUP($A334,PredictionTable,MATCH(H$1,Analysts,0),FALSE),60)</f>
        <v>60</v>
      </c>
      <c r="I334">
        <f>_xlfn.IFNA(VLOOKUP($A334,PredictionTable,MATCH(I$1,Analysts,0),FALSE),60)</f>
        <v>60</v>
      </c>
      <c r="J334">
        <f>_xlfn.IFNA(VLOOKUP($A334,PredictionTable,MATCH(J$1,Analysts,0),FALSE),60)</f>
        <v>60</v>
      </c>
      <c r="K334">
        <f>_xlfn.IFNA(VLOOKUP($A334,PredictionTable,MATCH(K$1,Analysts,0),FALSE),60)</f>
        <v>60</v>
      </c>
      <c r="L334">
        <f>_xlfn.IFNA(VLOOKUP($A334,PredictionTable,MATCH(L$1,Analysts,0),FALSE),60)</f>
        <v>60</v>
      </c>
      <c r="M334">
        <f>_xlfn.IFNA(VLOOKUP($A334,PredictionTable,MATCH(M$1,Analysts,0),FALSE),60)</f>
        <v>60</v>
      </c>
      <c r="N334">
        <f>_xlfn.IFNA(VLOOKUP($A334,PredictionTable,MATCH(N$1,Analysts,0),FALSE),60)</f>
        <v>60</v>
      </c>
      <c r="O334">
        <f>_xlfn.IFNA(VLOOKUP($A334,PredictionTable,MATCH(O$1,Analysts,0),FALSE),60)</f>
        <v>60</v>
      </c>
      <c r="P334">
        <f>_xlfn.IFNA(VLOOKUP($A334,PredictionTable,MATCH(P$1,Analysts,0),FALSE),60)</f>
        <v>60</v>
      </c>
      <c r="V334" s="7" t="s">
        <v>589</v>
      </c>
    </row>
    <row r="335" spans="1:22" x14ac:dyDescent="0.45">
      <c r="A335" s="1" t="s">
        <v>340</v>
      </c>
      <c r="B335" s="1" t="s">
        <v>228</v>
      </c>
      <c r="C335" s="1">
        <f>INDEX(T_Performances,MATCH($A335,T_Names,0))</f>
        <v>0</v>
      </c>
      <c r="D335">
        <v>0.7</v>
      </c>
      <c r="E335" s="1">
        <f>INDEX(T_Avg_PPG,MATCH($A335,T_Names,0))</f>
        <v>0.7</v>
      </c>
      <c r="F335">
        <f>1+COUNTIFS(T_Total,"&gt;"&amp;D335,T_Pos,$B335)</f>
        <v>113</v>
      </c>
      <c r="G335">
        <f>1+COUNTIFS(T_Avg_PPG,"&gt;"&amp;E335,T_Pos,$B335)</f>
        <v>113</v>
      </c>
      <c r="H335">
        <f>_xlfn.IFNA(VLOOKUP($A335,PredictionTable,MATCH(H$1,Analysts,0),FALSE),60)</f>
        <v>60</v>
      </c>
      <c r="I335">
        <f>_xlfn.IFNA(VLOOKUP($A335,PredictionTable,MATCH(I$1,Analysts,0),FALSE),60)</f>
        <v>60</v>
      </c>
      <c r="J335">
        <f>_xlfn.IFNA(VLOOKUP($A335,PredictionTable,MATCH(J$1,Analysts,0),FALSE),60)</f>
        <v>60</v>
      </c>
      <c r="K335">
        <f>_xlfn.IFNA(VLOOKUP($A335,PredictionTable,MATCH(K$1,Analysts,0),FALSE),60)</f>
        <v>60</v>
      </c>
      <c r="L335">
        <f>_xlfn.IFNA(VLOOKUP($A335,PredictionTable,MATCH(L$1,Analysts,0),FALSE),60)</f>
        <v>60</v>
      </c>
      <c r="M335">
        <f>_xlfn.IFNA(VLOOKUP($A335,PredictionTable,MATCH(M$1,Analysts,0),FALSE),60)</f>
        <v>60</v>
      </c>
      <c r="N335">
        <f>_xlfn.IFNA(VLOOKUP($A335,PredictionTable,MATCH(N$1,Analysts,0),FALSE),60)</f>
        <v>60</v>
      </c>
      <c r="O335">
        <f>_xlfn.IFNA(VLOOKUP($A335,PredictionTable,MATCH(O$1,Analysts,0),FALSE),60)</f>
        <v>60</v>
      </c>
      <c r="P335">
        <f>_xlfn.IFNA(VLOOKUP($A335,PredictionTable,MATCH(P$1,Analysts,0),FALSE),60)</f>
        <v>60</v>
      </c>
      <c r="V335" s="7" t="s">
        <v>589</v>
      </c>
    </row>
    <row r="336" spans="1:22" x14ac:dyDescent="0.45">
      <c r="A336" s="1" t="s">
        <v>341</v>
      </c>
      <c r="B336" s="1" t="s">
        <v>228</v>
      </c>
      <c r="C336" s="1">
        <f>INDEX(T_Performances,MATCH($A336,T_Names,0))</f>
        <v>0</v>
      </c>
      <c r="D336">
        <v>0.7</v>
      </c>
      <c r="E336" s="1">
        <f>INDEX(T_Avg_PPG,MATCH($A336,T_Names,0))</f>
        <v>0.7</v>
      </c>
      <c r="F336">
        <f>1+COUNTIFS(T_Total,"&gt;"&amp;D336,T_Pos,$B336)</f>
        <v>113</v>
      </c>
      <c r="G336">
        <f>1+COUNTIFS(T_Avg_PPG,"&gt;"&amp;E336,T_Pos,$B336)</f>
        <v>113</v>
      </c>
      <c r="H336">
        <f>_xlfn.IFNA(VLOOKUP($A336,PredictionTable,MATCH(H$1,Analysts,0),FALSE),60)</f>
        <v>60</v>
      </c>
      <c r="I336">
        <f>_xlfn.IFNA(VLOOKUP($A336,PredictionTable,MATCH(I$1,Analysts,0),FALSE),60)</f>
        <v>60</v>
      </c>
      <c r="J336">
        <f>_xlfn.IFNA(VLOOKUP($A336,PredictionTable,MATCH(J$1,Analysts,0),FALSE),60)</f>
        <v>60</v>
      </c>
      <c r="K336">
        <f>_xlfn.IFNA(VLOOKUP($A336,PredictionTable,MATCH(K$1,Analysts,0),FALSE),60)</f>
        <v>60</v>
      </c>
      <c r="L336">
        <f>_xlfn.IFNA(VLOOKUP($A336,PredictionTable,MATCH(L$1,Analysts,0),FALSE),60)</f>
        <v>60</v>
      </c>
      <c r="M336">
        <f>_xlfn.IFNA(VLOOKUP($A336,PredictionTable,MATCH(M$1,Analysts,0),FALSE),60)</f>
        <v>60</v>
      </c>
      <c r="N336">
        <f>_xlfn.IFNA(VLOOKUP($A336,PredictionTable,MATCH(N$1,Analysts,0),FALSE),60)</f>
        <v>60</v>
      </c>
      <c r="O336">
        <f>_xlfn.IFNA(VLOOKUP($A336,PredictionTable,MATCH(O$1,Analysts,0),FALSE),60)</f>
        <v>60</v>
      </c>
      <c r="P336">
        <f>_xlfn.IFNA(VLOOKUP($A336,PredictionTable,MATCH(P$1,Analysts,0),FALSE),60)</f>
        <v>60</v>
      </c>
      <c r="V336" s="7" t="s">
        <v>589</v>
      </c>
    </row>
    <row r="337" spans="1:22" x14ac:dyDescent="0.45">
      <c r="A337" s="1" t="s">
        <v>342</v>
      </c>
      <c r="B337" s="1" t="s">
        <v>343</v>
      </c>
      <c r="C337" s="1">
        <f>INDEX(T_Performances,MATCH($A337,T_Names,0))</f>
        <v>13</v>
      </c>
      <c r="D337">
        <v>240.5</v>
      </c>
      <c r="E337" s="1">
        <f>INDEX(T_Avg_PPG,MATCH($A337,T_Names,0))</f>
        <v>14.147058823529411</v>
      </c>
      <c r="F337">
        <f>1+COUNTIFS(T_Total,"&gt;"&amp;D337,T_Pos,$B337)</f>
        <v>4</v>
      </c>
      <c r="G337">
        <f>1+COUNTIFS(T_Avg_PPG,"&gt;"&amp;E337,T_Pos,$B337)</f>
        <v>14</v>
      </c>
      <c r="H337">
        <f>_xlfn.IFNA(VLOOKUP($A337,PredictionTable,MATCH(H$1,Analysts,0),FALSE),60)</f>
        <v>60</v>
      </c>
      <c r="I337">
        <f>_xlfn.IFNA(VLOOKUP($A337,PredictionTable,MATCH(I$1,Analysts,0),FALSE),60)</f>
        <v>60</v>
      </c>
      <c r="J337">
        <f>_xlfn.IFNA(VLOOKUP($A337,PredictionTable,MATCH(J$1,Analysts,0),FALSE),60)</f>
        <v>60</v>
      </c>
      <c r="K337">
        <f>_xlfn.IFNA(VLOOKUP($A337,PredictionTable,MATCH(K$1,Analysts,0),FALSE),60)</f>
        <v>60</v>
      </c>
      <c r="L337">
        <f>_xlfn.IFNA(VLOOKUP($A337,PredictionTable,MATCH(L$1,Analysts,0),FALSE),60)</f>
        <v>60</v>
      </c>
      <c r="M337">
        <f>_xlfn.IFNA(VLOOKUP($A337,PredictionTable,MATCH(M$1,Analysts,0),FALSE),60)</f>
        <v>60</v>
      </c>
      <c r="N337">
        <f>_xlfn.IFNA(VLOOKUP($A337,PredictionTable,MATCH(N$1,Analysts,0),FALSE),60)</f>
        <v>60</v>
      </c>
      <c r="O337">
        <f>_xlfn.IFNA(VLOOKUP($A337,PredictionTable,MATCH(O$1,Analysts,0),FALSE),60)</f>
        <v>60</v>
      </c>
      <c r="P337">
        <f>_xlfn.IFNA(VLOOKUP($A337,PredictionTable,MATCH(P$1,Analysts,0),FALSE),60)</f>
        <v>60</v>
      </c>
      <c r="V337" s="7" t="s">
        <v>589</v>
      </c>
    </row>
    <row r="338" spans="1:22" x14ac:dyDescent="0.45">
      <c r="A338" s="1" t="s">
        <v>344</v>
      </c>
      <c r="B338" s="1" t="s">
        <v>343</v>
      </c>
      <c r="C338" s="1">
        <f>INDEX(T_Performances,MATCH($A338,T_Names,0))</f>
        <v>13</v>
      </c>
      <c r="D338">
        <v>226.8</v>
      </c>
      <c r="E338" s="1">
        <f>INDEX(T_Avg_PPG,MATCH($A338,T_Names,0))</f>
        <v>14.175000000000001</v>
      </c>
      <c r="F338">
        <f>1+COUNTIFS(T_Total,"&gt;"&amp;D338,T_Pos,$B338)</f>
        <v>6</v>
      </c>
      <c r="G338">
        <f>1+COUNTIFS(T_Avg_PPG,"&gt;"&amp;E338,T_Pos,$B338)</f>
        <v>13</v>
      </c>
      <c r="H338">
        <f>_xlfn.IFNA(VLOOKUP($A338,PredictionTable,MATCH(H$1,Analysts,0),FALSE),60)</f>
        <v>36</v>
      </c>
      <c r="I338">
        <f>_xlfn.IFNA(VLOOKUP($A338,PredictionTable,MATCH(I$1,Analysts,0),FALSE),60)</f>
        <v>36</v>
      </c>
      <c r="J338">
        <f>_xlfn.IFNA(VLOOKUP($A338,PredictionTable,MATCH(J$1,Analysts,0),FALSE),60)</f>
        <v>35</v>
      </c>
      <c r="K338">
        <f>_xlfn.IFNA(VLOOKUP($A338,PredictionTable,MATCH(K$1,Analysts,0),FALSE),60)</f>
        <v>39</v>
      </c>
      <c r="L338">
        <f>_xlfn.IFNA(VLOOKUP($A338,PredictionTable,MATCH(L$1,Analysts,0),FALSE),60)</f>
        <v>30</v>
      </c>
      <c r="M338">
        <f>_xlfn.IFNA(VLOOKUP($A338,PredictionTable,MATCH(M$1,Analysts,0),FALSE),60)</f>
        <v>31</v>
      </c>
      <c r="N338">
        <f>_xlfn.IFNA(VLOOKUP($A338,PredictionTable,MATCH(N$1,Analysts,0),FALSE),60)</f>
        <v>31</v>
      </c>
      <c r="O338">
        <f>_xlfn.IFNA(VLOOKUP($A338,PredictionTable,MATCH(O$1,Analysts,0),FALSE),60)</f>
        <v>37</v>
      </c>
      <c r="P338">
        <f>_xlfn.IFNA(VLOOKUP($A338,PredictionTable,MATCH(P$1,Analysts,0),FALSE),60)</f>
        <v>34.4</v>
      </c>
      <c r="V338" s="7" t="s">
        <v>589</v>
      </c>
    </row>
    <row r="339" spans="1:22" x14ac:dyDescent="0.45">
      <c r="A339" s="1" t="s">
        <v>345</v>
      </c>
      <c r="B339" s="1" t="s">
        <v>343</v>
      </c>
      <c r="C339" s="1">
        <f>INDEX(T_Performances,MATCH($A339,T_Names,0))</f>
        <v>11</v>
      </c>
      <c r="D339">
        <v>219.1</v>
      </c>
      <c r="E339" s="1">
        <f>INDEX(T_Avg_PPG,MATCH($A339,T_Names,0))</f>
        <v>14.606666666666666</v>
      </c>
      <c r="F339">
        <f>1+COUNTIFS(T_Total,"&gt;"&amp;D339,T_Pos,$B339)</f>
        <v>7</v>
      </c>
      <c r="G339">
        <f>1+COUNTIFS(T_Avg_PPG,"&gt;"&amp;E339,T_Pos,$B339)</f>
        <v>9</v>
      </c>
      <c r="H339">
        <f>_xlfn.IFNA(VLOOKUP($A339,PredictionTable,MATCH(H$1,Analysts,0),FALSE),60)</f>
        <v>21</v>
      </c>
      <c r="I339">
        <f>_xlfn.IFNA(VLOOKUP($A339,PredictionTable,MATCH(I$1,Analysts,0),FALSE),60)</f>
        <v>16</v>
      </c>
      <c r="J339">
        <f>_xlfn.IFNA(VLOOKUP($A339,PredictionTable,MATCH(J$1,Analysts,0),FALSE),60)</f>
        <v>26</v>
      </c>
      <c r="K339">
        <f>_xlfn.IFNA(VLOOKUP($A339,PredictionTable,MATCH(K$1,Analysts,0),FALSE),60)</f>
        <v>26</v>
      </c>
      <c r="L339">
        <f>_xlfn.IFNA(VLOOKUP($A339,PredictionTable,MATCH(L$1,Analysts,0),FALSE),60)</f>
        <v>35</v>
      </c>
      <c r="M339">
        <f>_xlfn.IFNA(VLOOKUP($A339,PredictionTable,MATCH(M$1,Analysts,0),FALSE),60)</f>
        <v>21</v>
      </c>
      <c r="N339">
        <f>_xlfn.IFNA(VLOOKUP($A339,PredictionTable,MATCH(N$1,Analysts,0),FALSE),60)</f>
        <v>22</v>
      </c>
      <c r="O339">
        <f>_xlfn.IFNA(VLOOKUP($A339,PredictionTable,MATCH(O$1,Analysts,0),FALSE),60)</f>
        <v>20</v>
      </c>
      <c r="P339">
        <f>_xlfn.IFNA(VLOOKUP($A339,PredictionTable,MATCH(P$1,Analysts,0),FALSE),60)</f>
        <v>23.4</v>
      </c>
      <c r="V339" s="7" t="s">
        <v>589</v>
      </c>
    </row>
    <row r="340" spans="1:22" x14ac:dyDescent="0.45">
      <c r="A340" s="1" t="s">
        <v>346</v>
      </c>
      <c r="B340" s="1" t="s">
        <v>343</v>
      </c>
      <c r="C340" s="1">
        <f>INDEX(T_Performances,MATCH($A340,T_Names,0))</f>
        <v>13</v>
      </c>
      <c r="D340">
        <v>339.5</v>
      </c>
      <c r="E340" s="1">
        <f>INDEX(T_Avg_PPG,MATCH($A340,T_Names,0))</f>
        <v>19.970588235294116</v>
      </c>
      <c r="F340">
        <f>1+COUNTIFS(T_Total,"&gt;"&amp;D340,T_Pos,$B340)</f>
        <v>1</v>
      </c>
      <c r="G340">
        <f>1+COUNTIFS(T_Avg_PPG,"&gt;"&amp;E340,T_Pos,$B340)</f>
        <v>1</v>
      </c>
      <c r="H340">
        <f>_xlfn.IFNA(VLOOKUP($A340,PredictionTable,MATCH(H$1,Analysts,0),FALSE),60)</f>
        <v>3</v>
      </c>
      <c r="I340">
        <f>_xlfn.IFNA(VLOOKUP($A340,PredictionTable,MATCH(I$1,Analysts,0),FALSE),60)</f>
        <v>3</v>
      </c>
      <c r="J340">
        <f>_xlfn.IFNA(VLOOKUP($A340,PredictionTable,MATCH(J$1,Analysts,0),FALSE),60)</f>
        <v>3</v>
      </c>
      <c r="K340">
        <f>_xlfn.IFNA(VLOOKUP($A340,PredictionTable,MATCH(K$1,Analysts,0),FALSE),60)</f>
        <v>5</v>
      </c>
      <c r="L340">
        <f>_xlfn.IFNA(VLOOKUP($A340,PredictionTable,MATCH(L$1,Analysts,0),FALSE),60)</f>
        <v>3</v>
      </c>
      <c r="M340">
        <f>_xlfn.IFNA(VLOOKUP($A340,PredictionTable,MATCH(M$1,Analysts,0),FALSE),60)</f>
        <v>3</v>
      </c>
      <c r="N340">
        <f>_xlfn.IFNA(VLOOKUP($A340,PredictionTable,MATCH(N$1,Analysts,0),FALSE),60)</f>
        <v>3</v>
      </c>
      <c r="O340">
        <f>_xlfn.IFNA(VLOOKUP($A340,PredictionTable,MATCH(O$1,Analysts,0),FALSE),60)</f>
        <v>4</v>
      </c>
      <c r="P340">
        <f>_xlfn.IFNA(VLOOKUP($A340,PredictionTable,MATCH(P$1,Analysts,0),FALSE),60)</f>
        <v>3.4</v>
      </c>
      <c r="V340" s="7" t="s">
        <v>589</v>
      </c>
    </row>
    <row r="341" spans="1:22" x14ac:dyDescent="0.45">
      <c r="A341" s="1" t="s">
        <v>347</v>
      </c>
      <c r="B341" s="1" t="s">
        <v>343</v>
      </c>
      <c r="C341" s="1">
        <f>INDEX(T_Performances,MATCH($A341,T_Names,0))</f>
        <v>8</v>
      </c>
      <c r="D341">
        <v>189.1</v>
      </c>
      <c r="E341" s="1">
        <f>INDEX(T_Avg_PPG,MATCH($A341,T_Names,0))</f>
        <v>11.123529411764705</v>
      </c>
      <c r="F341">
        <f>1+COUNTIFS(T_Total,"&gt;"&amp;D341,T_Pos,$B341)</f>
        <v>16</v>
      </c>
      <c r="G341">
        <f>1+COUNTIFS(T_Avg_PPG,"&gt;"&amp;E341,T_Pos,$B341)</f>
        <v>36</v>
      </c>
      <c r="H341">
        <f>_xlfn.IFNA(VLOOKUP($A341,PredictionTable,MATCH(H$1,Analysts,0),FALSE),60)</f>
        <v>60</v>
      </c>
      <c r="I341">
        <f>_xlfn.IFNA(VLOOKUP($A341,PredictionTable,MATCH(I$1,Analysts,0),FALSE),60)</f>
        <v>60</v>
      </c>
      <c r="J341">
        <f>_xlfn.IFNA(VLOOKUP($A341,PredictionTable,MATCH(J$1,Analysts,0),FALSE),60)</f>
        <v>60</v>
      </c>
      <c r="K341">
        <f>_xlfn.IFNA(VLOOKUP($A341,PredictionTable,MATCH(K$1,Analysts,0),FALSE),60)</f>
        <v>60</v>
      </c>
      <c r="L341">
        <f>_xlfn.IFNA(VLOOKUP($A341,PredictionTable,MATCH(L$1,Analysts,0),FALSE),60)</f>
        <v>60</v>
      </c>
      <c r="M341">
        <f>_xlfn.IFNA(VLOOKUP($A341,PredictionTable,MATCH(M$1,Analysts,0),FALSE),60)</f>
        <v>60</v>
      </c>
      <c r="N341">
        <f>_xlfn.IFNA(VLOOKUP($A341,PredictionTable,MATCH(N$1,Analysts,0),FALSE),60)</f>
        <v>60</v>
      </c>
      <c r="O341">
        <f>_xlfn.IFNA(VLOOKUP($A341,PredictionTable,MATCH(O$1,Analysts,0),FALSE),60)</f>
        <v>60</v>
      </c>
      <c r="P341">
        <f>_xlfn.IFNA(VLOOKUP($A341,PredictionTable,MATCH(P$1,Analysts,0),FALSE),60)</f>
        <v>60</v>
      </c>
      <c r="V341" s="7" t="s">
        <v>589</v>
      </c>
    </row>
    <row r="342" spans="1:22" x14ac:dyDescent="0.45">
      <c r="A342" s="1" t="s">
        <v>348</v>
      </c>
      <c r="B342" s="1" t="s">
        <v>343</v>
      </c>
      <c r="C342" s="1">
        <f>INDEX(T_Performances,MATCH($A342,T_Names,0))</f>
        <v>9</v>
      </c>
      <c r="D342">
        <v>183.4</v>
      </c>
      <c r="E342" s="1">
        <f>INDEX(T_Avg_PPG,MATCH($A342,T_Names,0))</f>
        <v>14.107692307692307</v>
      </c>
      <c r="F342">
        <f>1+COUNTIFS(T_Total,"&gt;"&amp;D342,T_Pos,$B342)</f>
        <v>18</v>
      </c>
      <c r="G342">
        <f>1+COUNTIFS(T_Avg_PPG,"&gt;"&amp;E342,T_Pos,$B342)</f>
        <v>15</v>
      </c>
      <c r="H342">
        <f>_xlfn.IFNA(VLOOKUP($A342,PredictionTable,MATCH(H$1,Analysts,0),FALSE),60)</f>
        <v>6</v>
      </c>
      <c r="I342">
        <f>_xlfn.IFNA(VLOOKUP($A342,PredictionTable,MATCH(I$1,Analysts,0),FALSE),60)</f>
        <v>6</v>
      </c>
      <c r="J342">
        <f>_xlfn.IFNA(VLOOKUP($A342,PredictionTable,MATCH(J$1,Analysts,0),FALSE),60)</f>
        <v>6</v>
      </c>
      <c r="K342">
        <f>_xlfn.IFNA(VLOOKUP($A342,PredictionTable,MATCH(K$1,Analysts,0),FALSE),60)</f>
        <v>6</v>
      </c>
      <c r="L342">
        <f>_xlfn.IFNA(VLOOKUP($A342,PredictionTable,MATCH(L$1,Analysts,0),FALSE),60)</f>
        <v>6</v>
      </c>
      <c r="M342">
        <f>_xlfn.IFNA(VLOOKUP($A342,PredictionTable,MATCH(M$1,Analysts,0),FALSE),60)</f>
        <v>6</v>
      </c>
      <c r="N342">
        <f>_xlfn.IFNA(VLOOKUP($A342,PredictionTable,MATCH(N$1,Analysts,0),FALSE),60)</f>
        <v>6</v>
      </c>
      <c r="O342">
        <f>_xlfn.IFNA(VLOOKUP($A342,PredictionTable,MATCH(O$1,Analysts,0),FALSE),60)</f>
        <v>6</v>
      </c>
      <c r="P342">
        <f>_xlfn.IFNA(VLOOKUP($A342,PredictionTable,MATCH(P$1,Analysts,0),FALSE),60)</f>
        <v>6</v>
      </c>
      <c r="V342" s="7" t="s">
        <v>589</v>
      </c>
    </row>
    <row r="343" spans="1:22" x14ac:dyDescent="0.45">
      <c r="A343" s="1" t="s">
        <v>349</v>
      </c>
      <c r="B343" s="1" t="s">
        <v>343</v>
      </c>
      <c r="C343" s="1">
        <f>INDEX(T_Performances,MATCH($A343,T_Names,0))</f>
        <v>14</v>
      </c>
      <c r="D343">
        <v>265.98</v>
      </c>
      <c r="E343" s="1">
        <f>INDEX(T_Avg_PPG,MATCH($A343,T_Names,0))</f>
        <v>15.645882352941177</v>
      </c>
      <c r="F343">
        <f>1+COUNTIFS(T_Total,"&gt;"&amp;D343,T_Pos,$B343)</f>
        <v>2</v>
      </c>
      <c r="G343">
        <f>1+COUNTIFS(T_Avg_PPG,"&gt;"&amp;E343,T_Pos,$B343)</f>
        <v>4</v>
      </c>
      <c r="H343">
        <f>_xlfn.IFNA(VLOOKUP($A343,PredictionTable,MATCH(H$1,Analysts,0),FALSE),60)</f>
        <v>5</v>
      </c>
      <c r="I343">
        <f>_xlfn.IFNA(VLOOKUP($A343,PredictionTable,MATCH(I$1,Analysts,0),FALSE),60)</f>
        <v>5</v>
      </c>
      <c r="J343">
        <f>_xlfn.IFNA(VLOOKUP($A343,PredictionTable,MATCH(J$1,Analysts,0),FALSE),60)</f>
        <v>4</v>
      </c>
      <c r="K343">
        <f>_xlfn.IFNA(VLOOKUP($A343,PredictionTable,MATCH(K$1,Analysts,0),FALSE),60)</f>
        <v>3</v>
      </c>
      <c r="L343">
        <f>_xlfn.IFNA(VLOOKUP($A343,PredictionTable,MATCH(L$1,Analysts,0),FALSE),60)</f>
        <v>4</v>
      </c>
      <c r="M343">
        <f>_xlfn.IFNA(VLOOKUP($A343,PredictionTable,MATCH(M$1,Analysts,0),FALSE),60)</f>
        <v>5</v>
      </c>
      <c r="N343">
        <f>_xlfn.IFNA(VLOOKUP($A343,PredictionTable,MATCH(N$1,Analysts,0),FALSE),60)</f>
        <v>5</v>
      </c>
      <c r="O343">
        <f>_xlfn.IFNA(VLOOKUP($A343,PredictionTable,MATCH(O$1,Analysts,0),FALSE),60)</f>
        <v>5</v>
      </c>
      <c r="P343">
        <f>_xlfn.IFNA(VLOOKUP($A343,PredictionTable,MATCH(P$1,Analysts,0),FALSE),60)</f>
        <v>4.5</v>
      </c>
      <c r="V343" s="7" t="s">
        <v>589</v>
      </c>
    </row>
    <row r="344" spans="1:22" x14ac:dyDescent="0.45">
      <c r="A344" s="1" t="s">
        <v>350</v>
      </c>
      <c r="B344" s="1" t="s">
        <v>343</v>
      </c>
      <c r="C344" s="1">
        <f>INDEX(T_Performances,MATCH($A344,T_Names,0))</f>
        <v>12</v>
      </c>
      <c r="D344">
        <v>258.68</v>
      </c>
      <c r="E344" s="1">
        <f>INDEX(T_Avg_PPG,MATCH($A344,T_Names,0))</f>
        <v>15.216470588235294</v>
      </c>
      <c r="F344">
        <f>1+COUNTIFS(T_Total,"&gt;"&amp;D344,T_Pos,$B344)</f>
        <v>3</v>
      </c>
      <c r="G344">
        <f>1+COUNTIFS(T_Avg_PPG,"&gt;"&amp;E344,T_Pos,$B344)</f>
        <v>6</v>
      </c>
      <c r="H344">
        <f>_xlfn.IFNA(VLOOKUP($A344,PredictionTable,MATCH(H$1,Analysts,0),FALSE),60)</f>
        <v>4</v>
      </c>
      <c r="I344">
        <f>_xlfn.IFNA(VLOOKUP($A344,PredictionTable,MATCH(I$1,Analysts,0),FALSE),60)</f>
        <v>4</v>
      </c>
      <c r="J344">
        <f>_xlfn.IFNA(VLOOKUP($A344,PredictionTable,MATCH(J$1,Analysts,0),FALSE),60)</f>
        <v>5</v>
      </c>
      <c r="K344">
        <f>_xlfn.IFNA(VLOOKUP($A344,PredictionTable,MATCH(K$1,Analysts,0),FALSE),60)</f>
        <v>4</v>
      </c>
      <c r="L344">
        <f>_xlfn.IFNA(VLOOKUP($A344,PredictionTable,MATCH(L$1,Analysts,0),FALSE),60)</f>
        <v>5</v>
      </c>
      <c r="M344">
        <f>_xlfn.IFNA(VLOOKUP($A344,PredictionTable,MATCH(M$1,Analysts,0),FALSE),60)</f>
        <v>4</v>
      </c>
      <c r="N344">
        <f>_xlfn.IFNA(VLOOKUP($A344,PredictionTable,MATCH(N$1,Analysts,0),FALSE),60)</f>
        <v>4</v>
      </c>
      <c r="O344">
        <f>_xlfn.IFNA(VLOOKUP($A344,PredictionTable,MATCH(O$1,Analysts,0),FALSE),60)</f>
        <v>3</v>
      </c>
      <c r="P344">
        <f>_xlfn.IFNA(VLOOKUP($A344,PredictionTable,MATCH(P$1,Analysts,0),FALSE),60)</f>
        <v>4.0999999999999996</v>
      </c>
      <c r="V344" s="7" t="s">
        <v>589</v>
      </c>
    </row>
    <row r="345" spans="1:22" x14ac:dyDescent="0.45">
      <c r="A345" s="1" t="s">
        <v>351</v>
      </c>
      <c r="B345" s="1" t="s">
        <v>343</v>
      </c>
      <c r="C345" s="1">
        <f>INDEX(T_Performances,MATCH($A345,T_Names,0))</f>
        <v>9</v>
      </c>
      <c r="D345">
        <v>165.4</v>
      </c>
      <c r="E345" s="1">
        <f>INDEX(T_Avg_PPG,MATCH($A345,T_Names,0))</f>
        <v>13.783333333333333</v>
      </c>
      <c r="F345">
        <f>1+COUNTIFS(T_Total,"&gt;"&amp;D345,T_Pos,$B345)</f>
        <v>30</v>
      </c>
      <c r="G345">
        <f>1+COUNTIFS(T_Avg_PPG,"&gt;"&amp;E345,T_Pos,$B345)</f>
        <v>17</v>
      </c>
      <c r="H345">
        <f>_xlfn.IFNA(VLOOKUP($A345,PredictionTable,MATCH(H$1,Analysts,0),FALSE),60)</f>
        <v>16</v>
      </c>
      <c r="I345">
        <f>_xlfn.IFNA(VLOOKUP($A345,PredictionTable,MATCH(I$1,Analysts,0),FALSE),60)</f>
        <v>21</v>
      </c>
      <c r="J345">
        <f>_xlfn.IFNA(VLOOKUP($A345,PredictionTable,MATCH(J$1,Analysts,0),FALSE),60)</f>
        <v>18</v>
      </c>
      <c r="K345">
        <f>_xlfn.IFNA(VLOOKUP($A345,PredictionTable,MATCH(K$1,Analysts,0),FALSE),60)</f>
        <v>18</v>
      </c>
      <c r="L345">
        <f>_xlfn.IFNA(VLOOKUP($A345,PredictionTable,MATCH(L$1,Analysts,0),FALSE),60)</f>
        <v>18</v>
      </c>
      <c r="M345">
        <f>_xlfn.IFNA(VLOOKUP($A345,PredictionTable,MATCH(M$1,Analysts,0),FALSE),60)</f>
        <v>16</v>
      </c>
      <c r="N345">
        <f>_xlfn.IFNA(VLOOKUP($A345,PredictionTable,MATCH(N$1,Analysts,0),FALSE),60)</f>
        <v>19</v>
      </c>
      <c r="O345">
        <f>_xlfn.IFNA(VLOOKUP($A345,PredictionTable,MATCH(O$1,Analysts,0),FALSE),60)</f>
        <v>15</v>
      </c>
      <c r="P345">
        <f>_xlfn.IFNA(VLOOKUP($A345,PredictionTable,MATCH(P$1,Analysts,0),FALSE),60)</f>
        <v>17.600000000000001</v>
      </c>
      <c r="V345" s="7" t="s">
        <v>589</v>
      </c>
    </row>
    <row r="346" spans="1:22" x14ac:dyDescent="0.45">
      <c r="A346" s="1" t="s">
        <v>352</v>
      </c>
      <c r="B346" s="1" t="s">
        <v>343</v>
      </c>
      <c r="C346" s="1">
        <f>INDEX(T_Performances,MATCH($A346,T_Names,0))</f>
        <v>8</v>
      </c>
      <c r="D346">
        <v>198.8</v>
      </c>
      <c r="E346" s="1">
        <f>INDEX(T_Avg_PPG,MATCH($A346,T_Names,0))</f>
        <v>14.200000000000001</v>
      </c>
      <c r="F346">
        <f>1+COUNTIFS(T_Total,"&gt;"&amp;D346,T_Pos,$B346)</f>
        <v>14</v>
      </c>
      <c r="G346">
        <f>1+COUNTIFS(T_Avg_PPG,"&gt;"&amp;E346,T_Pos,$B346)</f>
        <v>11</v>
      </c>
      <c r="H346">
        <f>_xlfn.IFNA(VLOOKUP($A346,PredictionTable,MATCH(H$1,Analysts,0),FALSE),60)</f>
        <v>9</v>
      </c>
      <c r="I346">
        <f>_xlfn.IFNA(VLOOKUP($A346,PredictionTable,MATCH(I$1,Analysts,0),FALSE),60)</f>
        <v>10</v>
      </c>
      <c r="J346">
        <f>_xlfn.IFNA(VLOOKUP($A346,PredictionTable,MATCH(J$1,Analysts,0),FALSE),60)</f>
        <v>9</v>
      </c>
      <c r="K346">
        <f>_xlfn.IFNA(VLOOKUP($A346,PredictionTable,MATCH(K$1,Analysts,0),FALSE),60)</f>
        <v>16</v>
      </c>
      <c r="L346">
        <f>_xlfn.IFNA(VLOOKUP($A346,PredictionTable,MATCH(L$1,Analysts,0),FALSE),60)</f>
        <v>9</v>
      </c>
      <c r="M346">
        <f>_xlfn.IFNA(VLOOKUP($A346,PredictionTable,MATCH(M$1,Analysts,0),FALSE),60)</f>
        <v>9</v>
      </c>
      <c r="N346">
        <f>_xlfn.IFNA(VLOOKUP($A346,PredictionTable,MATCH(N$1,Analysts,0),FALSE),60)</f>
        <v>11</v>
      </c>
      <c r="O346">
        <f>_xlfn.IFNA(VLOOKUP($A346,PredictionTable,MATCH(O$1,Analysts,0),FALSE),60)</f>
        <v>10</v>
      </c>
      <c r="P346">
        <f>_xlfn.IFNA(VLOOKUP($A346,PredictionTable,MATCH(P$1,Analysts,0),FALSE),60)</f>
        <v>10.4</v>
      </c>
      <c r="V346" s="7" t="s">
        <v>589</v>
      </c>
    </row>
    <row r="347" spans="1:22" x14ac:dyDescent="0.45">
      <c r="A347" s="1" t="s">
        <v>353</v>
      </c>
      <c r="B347" s="1" t="s">
        <v>343</v>
      </c>
      <c r="C347" s="1">
        <f>INDEX(T_Performances,MATCH($A347,T_Names,0))</f>
        <v>6</v>
      </c>
      <c r="D347">
        <v>167.2</v>
      </c>
      <c r="E347" s="1">
        <f>INDEX(T_Avg_PPG,MATCH($A347,T_Names,0))</f>
        <v>10.45</v>
      </c>
      <c r="F347">
        <f>1+COUNTIFS(T_Total,"&gt;"&amp;D347,T_Pos,$B347)</f>
        <v>27</v>
      </c>
      <c r="G347">
        <f>1+COUNTIFS(T_Avg_PPG,"&gt;"&amp;E347,T_Pos,$B347)</f>
        <v>44</v>
      </c>
      <c r="H347">
        <f>_xlfn.IFNA(VLOOKUP($A347,PredictionTable,MATCH(H$1,Analysts,0),FALSE),60)</f>
        <v>26</v>
      </c>
      <c r="I347">
        <f>_xlfn.IFNA(VLOOKUP($A347,PredictionTable,MATCH(I$1,Analysts,0),FALSE),60)</f>
        <v>25</v>
      </c>
      <c r="J347">
        <f>_xlfn.IFNA(VLOOKUP($A347,PredictionTable,MATCH(J$1,Analysts,0),FALSE),60)</f>
        <v>27</v>
      </c>
      <c r="K347">
        <f>_xlfn.IFNA(VLOOKUP($A347,PredictionTable,MATCH(K$1,Analysts,0),FALSE),60)</f>
        <v>25</v>
      </c>
      <c r="L347">
        <f>_xlfn.IFNA(VLOOKUP($A347,PredictionTable,MATCH(L$1,Analysts,0),FALSE),60)</f>
        <v>26</v>
      </c>
      <c r="M347">
        <f>_xlfn.IFNA(VLOOKUP($A347,PredictionTable,MATCH(M$1,Analysts,0),FALSE),60)</f>
        <v>26</v>
      </c>
      <c r="N347">
        <f>_xlfn.IFNA(VLOOKUP($A347,PredictionTable,MATCH(N$1,Analysts,0),FALSE),60)</f>
        <v>34</v>
      </c>
      <c r="O347">
        <f>_xlfn.IFNA(VLOOKUP($A347,PredictionTable,MATCH(O$1,Analysts,0),FALSE),60)</f>
        <v>27</v>
      </c>
      <c r="P347">
        <f>_xlfn.IFNA(VLOOKUP($A347,PredictionTable,MATCH(P$1,Analysts,0),FALSE),60)</f>
        <v>27</v>
      </c>
      <c r="V347" s="7" t="s">
        <v>589</v>
      </c>
    </row>
    <row r="348" spans="1:22" x14ac:dyDescent="0.45">
      <c r="A348" s="1" t="s">
        <v>354</v>
      </c>
      <c r="B348" s="1" t="s">
        <v>343</v>
      </c>
      <c r="C348" s="1">
        <f>INDEX(T_Performances,MATCH($A348,T_Names,0))</f>
        <v>8</v>
      </c>
      <c r="D348">
        <v>185.6</v>
      </c>
      <c r="E348" s="1">
        <f>INDEX(T_Avg_PPG,MATCH($A348,T_Names,0))</f>
        <v>15.466666666666667</v>
      </c>
      <c r="F348">
        <f>1+COUNTIFS(T_Total,"&gt;"&amp;D348,T_Pos,$B348)</f>
        <v>17</v>
      </c>
      <c r="G348">
        <f>1+COUNTIFS(T_Avg_PPG,"&gt;"&amp;E348,T_Pos,$B348)</f>
        <v>5</v>
      </c>
      <c r="H348">
        <f>_xlfn.IFNA(VLOOKUP($A348,PredictionTable,MATCH(H$1,Analysts,0),FALSE),60)</f>
        <v>27</v>
      </c>
      <c r="I348">
        <f>_xlfn.IFNA(VLOOKUP($A348,PredictionTable,MATCH(I$1,Analysts,0),FALSE),60)</f>
        <v>27</v>
      </c>
      <c r="J348">
        <f>_xlfn.IFNA(VLOOKUP($A348,PredictionTable,MATCH(J$1,Analysts,0),FALSE),60)</f>
        <v>25</v>
      </c>
      <c r="K348">
        <f>_xlfn.IFNA(VLOOKUP($A348,PredictionTable,MATCH(K$1,Analysts,0),FALSE),60)</f>
        <v>30</v>
      </c>
      <c r="L348">
        <f>_xlfn.IFNA(VLOOKUP($A348,PredictionTable,MATCH(L$1,Analysts,0),FALSE),60)</f>
        <v>25</v>
      </c>
      <c r="M348">
        <f>_xlfn.IFNA(VLOOKUP($A348,PredictionTable,MATCH(M$1,Analysts,0),FALSE),60)</f>
        <v>27</v>
      </c>
      <c r="N348">
        <f>_xlfn.IFNA(VLOOKUP($A348,PredictionTable,MATCH(N$1,Analysts,0),FALSE),60)</f>
        <v>30</v>
      </c>
      <c r="O348">
        <f>_xlfn.IFNA(VLOOKUP($A348,PredictionTable,MATCH(O$1,Analysts,0),FALSE),60)</f>
        <v>28</v>
      </c>
      <c r="P348">
        <f>_xlfn.IFNA(VLOOKUP($A348,PredictionTable,MATCH(P$1,Analysts,0),FALSE),60)</f>
        <v>27.4</v>
      </c>
      <c r="V348" s="7" t="s">
        <v>589</v>
      </c>
    </row>
    <row r="349" spans="1:22" x14ac:dyDescent="0.45">
      <c r="A349" s="1" t="s">
        <v>355</v>
      </c>
      <c r="B349" s="1" t="s">
        <v>343</v>
      </c>
      <c r="C349" s="1">
        <f>INDEX(T_Performances,MATCH($A349,T_Names,0))</f>
        <v>7</v>
      </c>
      <c r="D349">
        <v>203.4</v>
      </c>
      <c r="E349" s="1">
        <f>INDEX(T_Avg_PPG,MATCH($A349,T_Names,0))</f>
        <v>14.528571428571428</v>
      </c>
      <c r="F349">
        <f>1+COUNTIFS(T_Total,"&gt;"&amp;D349,T_Pos,$B349)</f>
        <v>9</v>
      </c>
      <c r="G349">
        <f>1+COUNTIFS(T_Avg_PPG,"&gt;"&amp;E349,T_Pos,$B349)</f>
        <v>10</v>
      </c>
      <c r="H349">
        <f>_xlfn.IFNA(VLOOKUP($A349,PredictionTable,MATCH(H$1,Analysts,0),FALSE),60)</f>
        <v>12</v>
      </c>
      <c r="I349">
        <f>_xlfn.IFNA(VLOOKUP($A349,PredictionTable,MATCH(I$1,Analysts,0),FALSE),60)</f>
        <v>12</v>
      </c>
      <c r="J349">
        <f>_xlfn.IFNA(VLOOKUP($A349,PredictionTable,MATCH(J$1,Analysts,0),FALSE),60)</f>
        <v>11</v>
      </c>
      <c r="K349">
        <f>_xlfn.IFNA(VLOOKUP($A349,PredictionTable,MATCH(K$1,Analysts,0),FALSE),60)</f>
        <v>12</v>
      </c>
      <c r="L349">
        <f>_xlfn.IFNA(VLOOKUP($A349,PredictionTable,MATCH(L$1,Analysts,0),FALSE),60)</f>
        <v>11</v>
      </c>
      <c r="M349">
        <f>_xlfn.IFNA(VLOOKUP($A349,PredictionTable,MATCH(M$1,Analysts,0),FALSE),60)</f>
        <v>12</v>
      </c>
      <c r="N349">
        <f>_xlfn.IFNA(VLOOKUP($A349,PredictionTable,MATCH(N$1,Analysts,0),FALSE),60)</f>
        <v>15</v>
      </c>
      <c r="O349">
        <f>_xlfn.IFNA(VLOOKUP($A349,PredictionTable,MATCH(O$1,Analysts,0),FALSE),60)</f>
        <v>13</v>
      </c>
      <c r="P349">
        <f>_xlfn.IFNA(VLOOKUP($A349,PredictionTable,MATCH(P$1,Analysts,0),FALSE),60)</f>
        <v>12.3</v>
      </c>
      <c r="V349" s="7" t="s">
        <v>589</v>
      </c>
    </row>
    <row r="350" spans="1:22" x14ac:dyDescent="0.45">
      <c r="A350" s="1" t="s">
        <v>356</v>
      </c>
      <c r="B350" s="1" t="s">
        <v>343</v>
      </c>
      <c r="C350" s="1">
        <f>INDEX(T_Performances,MATCH($A350,T_Names,0))</f>
        <v>8</v>
      </c>
      <c r="D350">
        <v>203</v>
      </c>
      <c r="E350" s="1">
        <f>INDEX(T_Avg_PPG,MATCH($A350,T_Names,0))</f>
        <v>11.941176470588236</v>
      </c>
      <c r="F350">
        <f>1+COUNTIFS(T_Total,"&gt;"&amp;D350,T_Pos,$B350)</f>
        <v>10</v>
      </c>
      <c r="G350">
        <f>1+COUNTIFS(T_Avg_PPG,"&gt;"&amp;E350,T_Pos,$B350)</f>
        <v>27</v>
      </c>
      <c r="H350">
        <f>_xlfn.IFNA(VLOOKUP($A350,PredictionTable,MATCH(H$1,Analysts,0),FALSE),60)</f>
        <v>38</v>
      </c>
      <c r="I350">
        <f>_xlfn.IFNA(VLOOKUP($A350,PredictionTable,MATCH(I$1,Analysts,0),FALSE),60)</f>
        <v>37</v>
      </c>
      <c r="J350">
        <f>_xlfn.IFNA(VLOOKUP($A350,PredictionTable,MATCH(J$1,Analysts,0),FALSE),60)</f>
        <v>39</v>
      </c>
      <c r="K350">
        <f>_xlfn.IFNA(VLOOKUP($A350,PredictionTable,MATCH(K$1,Analysts,0),FALSE),60)</f>
        <v>41</v>
      </c>
      <c r="L350">
        <f>_xlfn.IFNA(VLOOKUP($A350,PredictionTable,MATCH(L$1,Analysts,0),FALSE),60)</f>
        <v>39</v>
      </c>
      <c r="M350">
        <f>_xlfn.IFNA(VLOOKUP($A350,PredictionTable,MATCH(M$1,Analysts,0),FALSE),60)</f>
        <v>43</v>
      </c>
      <c r="N350">
        <f>_xlfn.IFNA(VLOOKUP($A350,PredictionTable,MATCH(N$1,Analysts,0),FALSE),60)</f>
        <v>46</v>
      </c>
      <c r="O350">
        <f>_xlfn.IFNA(VLOOKUP($A350,PredictionTable,MATCH(O$1,Analysts,0),FALSE),60)</f>
        <v>46</v>
      </c>
      <c r="P350">
        <f>_xlfn.IFNA(VLOOKUP($A350,PredictionTable,MATCH(P$1,Analysts,0),FALSE),60)</f>
        <v>41.1</v>
      </c>
      <c r="V350" s="7" t="s">
        <v>589</v>
      </c>
    </row>
    <row r="351" spans="1:22" x14ac:dyDescent="0.45">
      <c r="A351" s="1" t="s">
        <v>357</v>
      </c>
      <c r="B351" s="1" t="s">
        <v>343</v>
      </c>
      <c r="C351" s="1">
        <f>INDEX(T_Performances,MATCH($A351,T_Names,0))</f>
        <v>10</v>
      </c>
      <c r="D351">
        <v>230.8</v>
      </c>
      <c r="E351" s="1">
        <f>INDEX(T_Avg_PPG,MATCH($A351,T_Names,0))</f>
        <v>13.576470588235296</v>
      </c>
      <c r="F351">
        <f>1+COUNTIFS(T_Total,"&gt;"&amp;D351,T_Pos,$B351)</f>
        <v>5</v>
      </c>
      <c r="G351">
        <f>1+COUNTIFS(T_Avg_PPG,"&gt;"&amp;E351,T_Pos,$B351)</f>
        <v>18</v>
      </c>
      <c r="H351">
        <f>_xlfn.IFNA(VLOOKUP($A351,PredictionTable,MATCH(H$1,Analysts,0),FALSE),60)</f>
        <v>14</v>
      </c>
      <c r="I351">
        <f>_xlfn.IFNA(VLOOKUP($A351,PredictionTable,MATCH(I$1,Analysts,0),FALSE),60)</f>
        <v>14</v>
      </c>
      <c r="J351">
        <f>_xlfn.IFNA(VLOOKUP($A351,PredictionTable,MATCH(J$1,Analysts,0),FALSE),60)</f>
        <v>13</v>
      </c>
      <c r="K351">
        <f>_xlfn.IFNA(VLOOKUP($A351,PredictionTable,MATCH(K$1,Analysts,0),FALSE),60)</f>
        <v>11</v>
      </c>
      <c r="L351">
        <f>_xlfn.IFNA(VLOOKUP($A351,PredictionTable,MATCH(L$1,Analysts,0),FALSE),60)</f>
        <v>15</v>
      </c>
      <c r="M351">
        <f>_xlfn.IFNA(VLOOKUP($A351,PredictionTable,MATCH(M$1,Analysts,0),FALSE),60)</f>
        <v>15</v>
      </c>
      <c r="N351">
        <f>_xlfn.IFNA(VLOOKUP($A351,PredictionTable,MATCH(N$1,Analysts,0),FALSE),60)</f>
        <v>9</v>
      </c>
      <c r="O351">
        <f>_xlfn.IFNA(VLOOKUP($A351,PredictionTable,MATCH(O$1,Analysts,0),FALSE),60)</f>
        <v>14</v>
      </c>
      <c r="P351">
        <f>_xlfn.IFNA(VLOOKUP($A351,PredictionTable,MATCH(P$1,Analysts,0),FALSE),60)</f>
        <v>13.1</v>
      </c>
      <c r="V351" s="7" t="s">
        <v>589</v>
      </c>
    </row>
    <row r="352" spans="1:22" x14ac:dyDescent="0.45">
      <c r="A352" s="1" t="s">
        <v>358</v>
      </c>
      <c r="B352" s="1" t="s">
        <v>343</v>
      </c>
      <c r="C352" s="1">
        <f>INDEX(T_Performances,MATCH($A352,T_Names,0))</f>
        <v>11</v>
      </c>
      <c r="D352">
        <v>212.9</v>
      </c>
      <c r="E352" s="1">
        <f>INDEX(T_Avg_PPG,MATCH($A352,T_Names,0))</f>
        <v>14.193333333333333</v>
      </c>
      <c r="F352">
        <f>1+COUNTIFS(T_Total,"&gt;"&amp;D352,T_Pos,$B352)</f>
        <v>8</v>
      </c>
      <c r="G352">
        <f>1+COUNTIFS(T_Avg_PPG,"&gt;"&amp;E352,T_Pos,$B352)</f>
        <v>12</v>
      </c>
      <c r="H352">
        <f>_xlfn.IFNA(VLOOKUP($A352,PredictionTable,MATCH(H$1,Analysts,0),FALSE),60)</f>
        <v>1</v>
      </c>
      <c r="I352">
        <f>_xlfn.IFNA(VLOOKUP($A352,PredictionTable,MATCH(I$1,Analysts,0),FALSE),60)</f>
        <v>1</v>
      </c>
      <c r="J352">
        <f>_xlfn.IFNA(VLOOKUP($A352,PredictionTable,MATCH(J$1,Analysts,0),FALSE),60)</f>
        <v>1</v>
      </c>
      <c r="K352">
        <f>_xlfn.IFNA(VLOOKUP($A352,PredictionTable,MATCH(K$1,Analysts,0),FALSE),60)</f>
        <v>1</v>
      </c>
      <c r="L352">
        <f>_xlfn.IFNA(VLOOKUP($A352,PredictionTable,MATCH(L$1,Analysts,0),FALSE),60)</f>
        <v>2</v>
      </c>
      <c r="M352">
        <f>_xlfn.IFNA(VLOOKUP($A352,PredictionTable,MATCH(M$1,Analysts,0),FALSE),60)</f>
        <v>1</v>
      </c>
      <c r="N352">
        <f>_xlfn.IFNA(VLOOKUP($A352,PredictionTable,MATCH(N$1,Analysts,0),FALSE),60)</f>
        <v>1</v>
      </c>
      <c r="O352">
        <f>_xlfn.IFNA(VLOOKUP($A352,PredictionTable,MATCH(O$1,Analysts,0),FALSE),60)</f>
        <v>2</v>
      </c>
      <c r="P352">
        <f>_xlfn.IFNA(VLOOKUP($A352,PredictionTable,MATCH(P$1,Analysts,0),FALSE),60)</f>
        <v>1.3</v>
      </c>
      <c r="V352" s="7" t="s">
        <v>589</v>
      </c>
    </row>
    <row r="353" spans="1:22" x14ac:dyDescent="0.45">
      <c r="A353" s="1" t="s">
        <v>359</v>
      </c>
      <c r="B353" s="1" t="s">
        <v>343</v>
      </c>
      <c r="C353" s="1">
        <f>INDEX(T_Performances,MATCH($A353,T_Names,0))</f>
        <v>10</v>
      </c>
      <c r="D353">
        <v>199.9</v>
      </c>
      <c r="E353" s="1">
        <f>INDEX(T_Avg_PPG,MATCH($A353,T_Names,0))</f>
        <v>12.49375</v>
      </c>
      <c r="F353">
        <f>1+COUNTIFS(T_Total,"&gt;"&amp;D353,T_Pos,$B353)</f>
        <v>12</v>
      </c>
      <c r="G353">
        <f>1+COUNTIFS(T_Avg_PPG,"&gt;"&amp;E353,T_Pos,$B353)</f>
        <v>24</v>
      </c>
      <c r="H353">
        <f>_xlfn.IFNA(VLOOKUP($A353,PredictionTable,MATCH(H$1,Analysts,0),FALSE),60)</f>
        <v>41</v>
      </c>
      <c r="I353">
        <f>_xlfn.IFNA(VLOOKUP($A353,PredictionTable,MATCH(I$1,Analysts,0),FALSE),60)</f>
        <v>44</v>
      </c>
      <c r="J353" t="str">
        <f>_xlfn.IFNA(VLOOKUP($A353,PredictionTable,MATCH(J$1,Analysts,0),FALSE),60)</f>
        <v>NR</v>
      </c>
      <c r="K353">
        <f>_xlfn.IFNA(VLOOKUP($A353,PredictionTable,MATCH(K$1,Analysts,0),FALSE),60)</f>
        <v>45</v>
      </c>
      <c r="L353">
        <f>_xlfn.IFNA(VLOOKUP($A353,PredictionTable,MATCH(L$1,Analysts,0),FALSE),60)</f>
        <v>38</v>
      </c>
      <c r="M353">
        <f>_xlfn.IFNA(VLOOKUP($A353,PredictionTable,MATCH(M$1,Analysts,0),FALSE),60)</f>
        <v>47</v>
      </c>
      <c r="N353">
        <f>_xlfn.IFNA(VLOOKUP($A353,PredictionTable,MATCH(N$1,Analysts,0),FALSE),60)</f>
        <v>50</v>
      </c>
      <c r="O353">
        <f>_xlfn.IFNA(VLOOKUP($A353,PredictionTable,MATCH(O$1,Analysts,0),FALSE),60)</f>
        <v>42</v>
      </c>
      <c r="P353">
        <f>_xlfn.IFNA(VLOOKUP($A353,PredictionTable,MATCH(P$1,Analysts,0),FALSE),60)</f>
        <v>46</v>
      </c>
      <c r="V353" s="7" t="s">
        <v>589</v>
      </c>
    </row>
    <row r="354" spans="1:22" x14ac:dyDescent="0.45">
      <c r="A354" s="1" t="s">
        <v>360</v>
      </c>
      <c r="B354" s="1" t="s">
        <v>343</v>
      </c>
      <c r="C354" s="1">
        <f>INDEX(T_Performances,MATCH($A354,T_Names,0))</f>
        <v>9</v>
      </c>
      <c r="D354">
        <v>183.2</v>
      </c>
      <c r="E354" s="1">
        <f>INDEX(T_Avg_PPG,MATCH($A354,T_Names,0))</f>
        <v>14.092307692307692</v>
      </c>
      <c r="F354">
        <f>1+COUNTIFS(T_Total,"&gt;"&amp;D354,T_Pos,$B354)</f>
        <v>19</v>
      </c>
      <c r="G354">
        <f>1+COUNTIFS(T_Avg_PPG,"&gt;"&amp;E354,T_Pos,$B354)</f>
        <v>16</v>
      </c>
      <c r="H354">
        <f>_xlfn.IFNA(VLOOKUP($A354,PredictionTable,MATCH(H$1,Analysts,0),FALSE),60)</f>
        <v>53</v>
      </c>
      <c r="I354">
        <f>_xlfn.IFNA(VLOOKUP($A354,PredictionTable,MATCH(I$1,Analysts,0),FALSE),60)</f>
        <v>57</v>
      </c>
      <c r="J354">
        <f>_xlfn.IFNA(VLOOKUP($A354,PredictionTable,MATCH(J$1,Analysts,0),FALSE),60)</f>
        <v>48</v>
      </c>
      <c r="K354">
        <f>_xlfn.IFNA(VLOOKUP($A354,PredictionTable,MATCH(K$1,Analysts,0),FALSE),60)</f>
        <v>47</v>
      </c>
      <c r="L354">
        <f>_xlfn.IFNA(VLOOKUP($A354,PredictionTable,MATCH(L$1,Analysts,0),FALSE),60)</f>
        <v>56</v>
      </c>
      <c r="M354">
        <f>_xlfn.IFNA(VLOOKUP($A354,PredictionTable,MATCH(M$1,Analysts,0),FALSE),60)</f>
        <v>55</v>
      </c>
      <c r="N354">
        <f>_xlfn.IFNA(VLOOKUP($A354,PredictionTable,MATCH(N$1,Analysts,0),FALSE),60)</f>
        <v>49</v>
      </c>
      <c r="O354">
        <f>_xlfn.IFNA(VLOOKUP($A354,PredictionTable,MATCH(O$1,Analysts,0),FALSE),60)</f>
        <v>60</v>
      </c>
      <c r="P354">
        <f>_xlfn.IFNA(VLOOKUP($A354,PredictionTable,MATCH(P$1,Analysts,0),FALSE),60)</f>
        <v>53.1</v>
      </c>
      <c r="V354" s="7" t="s">
        <v>589</v>
      </c>
    </row>
    <row r="355" spans="1:22" x14ac:dyDescent="0.45">
      <c r="A355" s="1" t="s">
        <v>361</v>
      </c>
      <c r="B355" s="1" t="s">
        <v>343</v>
      </c>
      <c r="C355" s="1">
        <f>INDEX(T_Performances,MATCH($A355,T_Names,0))</f>
        <v>9</v>
      </c>
      <c r="D355">
        <v>176.6</v>
      </c>
      <c r="E355" s="1">
        <f>INDEX(T_Avg_PPG,MATCH($A355,T_Names,0))</f>
        <v>14.716666666666667</v>
      </c>
      <c r="F355">
        <f>1+COUNTIFS(T_Total,"&gt;"&amp;D355,T_Pos,$B355)</f>
        <v>22</v>
      </c>
      <c r="G355">
        <f>1+COUNTIFS(T_Avg_PPG,"&gt;"&amp;E355,T_Pos,$B355)</f>
        <v>8</v>
      </c>
      <c r="H355">
        <f>_xlfn.IFNA(VLOOKUP($A355,PredictionTable,MATCH(H$1,Analysts,0),FALSE),60)</f>
        <v>17</v>
      </c>
      <c r="I355">
        <f>_xlfn.IFNA(VLOOKUP($A355,PredictionTable,MATCH(I$1,Analysts,0),FALSE),60)</f>
        <v>15</v>
      </c>
      <c r="J355">
        <f>_xlfn.IFNA(VLOOKUP($A355,PredictionTable,MATCH(J$1,Analysts,0),FALSE),60)</f>
        <v>14</v>
      </c>
      <c r="K355">
        <f>_xlfn.IFNA(VLOOKUP($A355,PredictionTable,MATCH(K$1,Analysts,0),FALSE),60)</f>
        <v>14</v>
      </c>
      <c r="L355">
        <f>_xlfn.IFNA(VLOOKUP($A355,PredictionTable,MATCH(L$1,Analysts,0),FALSE),60)</f>
        <v>16</v>
      </c>
      <c r="M355">
        <f>_xlfn.IFNA(VLOOKUP($A355,PredictionTable,MATCH(M$1,Analysts,0),FALSE),60)</f>
        <v>18</v>
      </c>
      <c r="N355">
        <f>_xlfn.IFNA(VLOOKUP($A355,PredictionTable,MATCH(N$1,Analysts,0),FALSE),60)</f>
        <v>18</v>
      </c>
      <c r="O355">
        <f>_xlfn.IFNA(VLOOKUP($A355,PredictionTable,MATCH(O$1,Analysts,0),FALSE),60)</f>
        <v>19</v>
      </c>
      <c r="P355">
        <f>_xlfn.IFNA(VLOOKUP($A355,PredictionTable,MATCH(P$1,Analysts,0),FALSE),60)</f>
        <v>16.399999999999999</v>
      </c>
      <c r="V355" s="7" t="s">
        <v>589</v>
      </c>
    </row>
    <row r="356" spans="1:22" x14ac:dyDescent="0.45">
      <c r="A356" s="1" t="s">
        <v>362</v>
      </c>
      <c r="B356" s="1" t="s">
        <v>343</v>
      </c>
      <c r="C356" s="1">
        <f>INDEX(T_Performances,MATCH($A356,T_Names,0))</f>
        <v>8</v>
      </c>
      <c r="D356">
        <v>161.19999999999999</v>
      </c>
      <c r="E356" s="1">
        <f>INDEX(T_Avg_PPG,MATCH($A356,T_Names,0))</f>
        <v>10.746666666666666</v>
      </c>
      <c r="F356">
        <f>1+COUNTIFS(T_Total,"&gt;"&amp;D356,T_Pos,$B356)</f>
        <v>31</v>
      </c>
      <c r="G356">
        <f>1+COUNTIFS(T_Avg_PPG,"&gt;"&amp;E356,T_Pos,$B356)</f>
        <v>38</v>
      </c>
      <c r="H356">
        <f>_xlfn.IFNA(VLOOKUP($A356,PredictionTable,MATCH(H$1,Analysts,0),FALSE),60)</f>
        <v>50</v>
      </c>
      <c r="I356">
        <f>_xlfn.IFNA(VLOOKUP($A356,PredictionTable,MATCH(I$1,Analysts,0),FALSE),60)</f>
        <v>52</v>
      </c>
      <c r="J356">
        <f>_xlfn.IFNA(VLOOKUP($A356,PredictionTable,MATCH(J$1,Analysts,0),FALSE),60)</f>
        <v>54</v>
      </c>
      <c r="K356">
        <f>_xlfn.IFNA(VLOOKUP($A356,PredictionTable,MATCH(K$1,Analysts,0),FALSE),60)</f>
        <v>50</v>
      </c>
      <c r="L356">
        <f>_xlfn.IFNA(VLOOKUP($A356,PredictionTable,MATCH(L$1,Analysts,0),FALSE),60)</f>
        <v>47</v>
      </c>
      <c r="M356">
        <f>_xlfn.IFNA(VLOOKUP($A356,PredictionTable,MATCH(M$1,Analysts,0),FALSE),60)</f>
        <v>50</v>
      </c>
      <c r="N356">
        <f>_xlfn.IFNA(VLOOKUP($A356,PredictionTable,MATCH(N$1,Analysts,0),FALSE),60)</f>
        <v>55</v>
      </c>
      <c r="O356">
        <f>_xlfn.IFNA(VLOOKUP($A356,PredictionTable,MATCH(O$1,Analysts,0),FALSE),60)</f>
        <v>52</v>
      </c>
      <c r="P356">
        <f>_xlfn.IFNA(VLOOKUP($A356,PredictionTable,MATCH(P$1,Analysts,0),FALSE),60)</f>
        <v>51.3</v>
      </c>
      <c r="V356" s="7" t="s">
        <v>589</v>
      </c>
    </row>
    <row r="357" spans="1:22" x14ac:dyDescent="0.45">
      <c r="A357" s="1" t="s">
        <v>363</v>
      </c>
      <c r="B357" s="1" t="s">
        <v>343</v>
      </c>
      <c r="C357" s="1">
        <f>INDEX(T_Performances,MATCH($A357,T_Names,0))</f>
        <v>5</v>
      </c>
      <c r="D357">
        <v>149.4</v>
      </c>
      <c r="E357" s="1">
        <f>INDEX(T_Avg_PPG,MATCH($A357,T_Names,0))</f>
        <v>9.9600000000000009</v>
      </c>
      <c r="F357">
        <f>1+COUNTIFS(T_Total,"&gt;"&amp;D357,T_Pos,$B357)</f>
        <v>35</v>
      </c>
      <c r="G357">
        <f>1+COUNTIFS(T_Avg_PPG,"&gt;"&amp;E357,T_Pos,$B357)</f>
        <v>48</v>
      </c>
      <c r="H357">
        <f>_xlfn.IFNA(VLOOKUP($A357,PredictionTable,MATCH(H$1,Analysts,0),FALSE),60)</f>
        <v>30</v>
      </c>
      <c r="I357">
        <f>_xlfn.IFNA(VLOOKUP($A357,PredictionTable,MATCH(I$1,Analysts,0),FALSE),60)</f>
        <v>33</v>
      </c>
      <c r="J357">
        <f>_xlfn.IFNA(VLOOKUP($A357,PredictionTable,MATCH(J$1,Analysts,0),FALSE),60)</f>
        <v>33</v>
      </c>
      <c r="K357">
        <f>_xlfn.IFNA(VLOOKUP($A357,PredictionTable,MATCH(K$1,Analysts,0),FALSE),60)</f>
        <v>36</v>
      </c>
      <c r="L357">
        <f>_xlfn.IFNA(VLOOKUP($A357,PredictionTable,MATCH(L$1,Analysts,0),FALSE),60)</f>
        <v>28</v>
      </c>
      <c r="M357">
        <f>_xlfn.IFNA(VLOOKUP($A357,PredictionTable,MATCH(M$1,Analysts,0),FALSE),60)</f>
        <v>34</v>
      </c>
      <c r="N357">
        <f>_xlfn.IFNA(VLOOKUP($A357,PredictionTable,MATCH(N$1,Analysts,0),FALSE),60)</f>
        <v>32</v>
      </c>
      <c r="O357">
        <f>_xlfn.IFNA(VLOOKUP($A357,PredictionTable,MATCH(O$1,Analysts,0),FALSE),60)</f>
        <v>33</v>
      </c>
      <c r="P357">
        <f>_xlfn.IFNA(VLOOKUP($A357,PredictionTable,MATCH(P$1,Analysts,0),FALSE),60)</f>
        <v>32.4</v>
      </c>
      <c r="V357" s="7" t="s">
        <v>589</v>
      </c>
    </row>
    <row r="358" spans="1:22" x14ac:dyDescent="0.45">
      <c r="A358" s="1" t="s">
        <v>364</v>
      </c>
      <c r="B358" s="1" t="s">
        <v>343</v>
      </c>
      <c r="C358" s="1">
        <f>INDEX(T_Performances,MATCH($A358,T_Names,0))</f>
        <v>7</v>
      </c>
      <c r="D358">
        <v>141.5</v>
      </c>
      <c r="E358" s="1">
        <f>INDEX(T_Avg_PPG,MATCH($A358,T_Names,0))</f>
        <v>12.863636363636363</v>
      </c>
      <c r="F358">
        <f>1+COUNTIFS(T_Total,"&gt;"&amp;D358,T_Pos,$B358)</f>
        <v>40</v>
      </c>
      <c r="G358">
        <f>1+COUNTIFS(T_Avg_PPG,"&gt;"&amp;E358,T_Pos,$B358)</f>
        <v>22</v>
      </c>
      <c r="H358">
        <f>_xlfn.IFNA(VLOOKUP($A358,PredictionTable,MATCH(H$1,Analysts,0),FALSE),60)</f>
        <v>23</v>
      </c>
      <c r="I358">
        <f>_xlfn.IFNA(VLOOKUP($A358,PredictionTable,MATCH(I$1,Analysts,0),FALSE),60)</f>
        <v>24</v>
      </c>
      <c r="J358">
        <f>_xlfn.IFNA(VLOOKUP($A358,PredictionTable,MATCH(J$1,Analysts,0),FALSE),60)</f>
        <v>21</v>
      </c>
      <c r="K358">
        <f>_xlfn.IFNA(VLOOKUP($A358,PredictionTable,MATCH(K$1,Analysts,0),FALSE),60)</f>
        <v>23</v>
      </c>
      <c r="L358">
        <f>_xlfn.IFNA(VLOOKUP($A358,PredictionTable,MATCH(L$1,Analysts,0),FALSE),60)</f>
        <v>22</v>
      </c>
      <c r="M358">
        <f>_xlfn.IFNA(VLOOKUP($A358,PredictionTable,MATCH(M$1,Analysts,0),FALSE),60)</f>
        <v>24</v>
      </c>
      <c r="N358">
        <f>_xlfn.IFNA(VLOOKUP($A358,PredictionTable,MATCH(N$1,Analysts,0),FALSE),60)</f>
        <v>20</v>
      </c>
      <c r="O358">
        <f>_xlfn.IFNA(VLOOKUP($A358,PredictionTable,MATCH(O$1,Analysts,0),FALSE),60)</f>
        <v>18</v>
      </c>
      <c r="P358">
        <f>_xlfn.IFNA(VLOOKUP($A358,PredictionTable,MATCH(P$1,Analysts,0),FALSE),60)</f>
        <v>21.9</v>
      </c>
      <c r="V358" s="7" t="s">
        <v>589</v>
      </c>
    </row>
    <row r="359" spans="1:22" x14ac:dyDescent="0.45">
      <c r="A359" s="1" t="s">
        <v>365</v>
      </c>
      <c r="B359" s="1" t="s">
        <v>343</v>
      </c>
      <c r="C359" s="1">
        <f>INDEX(T_Performances,MATCH($A359,T_Names,0))</f>
        <v>12</v>
      </c>
      <c r="D359">
        <v>199.8</v>
      </c>
      <c r="E359" s="1">
        <f>INDEX(T_Avg_PPG,MATCH($A359,T_Names,0))</f>
        <v>12.487500000000001</v>
      </c>
      <c r="F359">
        <f>1+COUNTIFS(T_Total,"&gt;"&amp;D359,T_Pos,$B359)</f>
        <v>13</v>
      </c>
      <c r="G359">
        <f>1+COUNTIFS(T_Avg_PPG,"&gt;"&amp;E359,T_Pos,$B359)</f>
        <v>25</v>
      </c>
      <c r="H359">
        <f>_xlfn.IFNA(VLOOKUP($A359,PredictionTable,MATCH(H$1,Analysts,0),FALSE),60)</f>
        <v>39</v>
      </c>
      <c r="I359">
        <f>_xlfn.IFNA(VLOOKUP($A359,PredictionTable,MATCH(I$1,Analysts,0),FALSE),60)</f>
        <v>38</v>
      </c>
      <c r="J359">
        <f>_xlfn.IFNA(VLOOKUP($A359,PredictionTable,MATCH(J$1,Analysts,0),FALSE),60)</f>
        <v>43</v>
      </c>
      <c r="K359">
        <f>_xlfn.IFNA(VLOOKUP($A359,PredictionTable,MATCH(K$1,Analysts,0),FALSE),60)</f>
        <v>43</v>
      </c>
      <c r="L359">
        <f>_xlfn.IFNA(VLOOKUP($A359,PredictionTable,MATCH(L$1,Analysts,0),FALSE),60)</f>
        <v>40</v>
      </c>
      <c r="M359">
        <f>_xlfn.IFNA(VLOOKUP($A359,PredictionTable,MATCH(M$1,Analysts,0),FALSE),60)</f>
        <v>38</v>
      </c>
      <c r="N359">
        <f>_xlfn.IFNA(VLOOKUP($A359,PredictionTable,MATCH(N$1,Analysts,0),FALSE),60)</f>
        <v>41</v>
      </c>
      <c r="O359">
        <f>_xlfn.IFNA(VLOOKUP($A359,PredictionTable,MATCH(O$1,Analysts,0),FALSE),60)</f>
        <v>38</v>
      </c>
      <c r="P359">
        <f>_xlfn.IFNA(VLOOKUP($A359,PredictionTable,MATCH(P$1,Analysts,0),FALSE),60)</f>
        <v>40</v>
      </c>
      <c r="V359" s="7" t="s">
        <v>589</v>
      </c>
    </row>
    <row r="360" spans="1:22" x14ac:dyDescent="0.45">
      <c r="A360" s="1" t="s">
        <v>366</v>
      </c>
      <c r="B360" s="1" t="s">
        <v>343</v>
      </c>
      <c r="C360" s="1">
        <f>INDEX(T_Performances,MATCH($A360,T_Names,0))</f>
        <v>9</v>
      </c>
      <c r="D360">
        <v>195.9</v>
      </c>
      <c r="E360" s="1">
        <f>INDEX(T_Avg_PPG,MATCH($A360,T_Names,0))</f>
        <v>11.523529411764706</v>
      </c>
      <c r="F360">
        <f>1+COUNTIFS(T_Total,"&gt;"&amp;D360,T_Pos,$B360)</f>
        <v>15</v>
      </c>
      <c r="G360">
        <f>1+COUNTIFS(T_Avg_PPG,"&gt;"&amp;E360,T_Pos,$B360)</f>
        <v>31</v>
      </c>
      <c r="H360">
        <f>_xlfn.IFNA(VLOOKUP($A360,PredictionTable,MATCH(H$1,Analysts,0),FALSE),60)</f>
        <v>54</v>
      </c>
      <c r="I360">
        <f>_xlfn.IFNA(VLOOKUP($A360,PredictionTable,MATCH(I$1,Analysts,0),FALSE),60)</f>
        <v>53</v>
      </c>
      <c r="J360">
        <f>_xlfn.IFNA(VLOOKUP($A360,PredictionTable,MATCH(J$1,Analysts,0),FALSE),60)</f>
        <v>49</v>
      </c>
      <c r="K360">
        <f>_xlfn.IFNA(VLOOKUP($A360,PredictionTable,MATCH(K$1,Analysts,0),FALSE),60)</f>
        <v>54</v>
      </c>
      <c r="L360">
        <f>_xlfn.IFNA(VLOOKUP($A360,PredictionTable,MATCH(L$1,Analysts,0),FALSE),60)</f>
        <v>51</v>
      </c>
      <c r="M360">
        <f>_xlfn.IFNA(VLOOKUP($A360,PredictionTable,MATCH(M$1,Analysts,0),FALSE),60)</f>
        <v>52</v>
      </c>
      <c r="N360">
        <f>_xlfn.IFNA(VLOOKUP($A360,PredictionTable,MATCH(N$1,Analysts,0),FALSE),60)</f>
        <v>57</v>
      </c>
      <c r="O360">
        <f>_xlfn.IFNA(VLOOKUP($A360,PredictionTable,MATCH(O$1,Analysts,0),FALSE),60)</f>
        <v>54</v>
      </c>
      <c r="P360">
        <f>_xlfn.IFNA(VLOOKUP($A360,PredictionTable,MATCH(P$1,Analysts,0),FALSE),60)</f>
        <v>53</v>
      </c>
      <c r="V360" s="7" t="s">
        <v>589</v>
      </c>
    </row>
    <row r="361" spans="1:22" x14ac:dyDescent="0.45">
      <c r="A361" s="1" t="s">
        <v>367</v>
      </c>
      <c r="B361" s="1" t="s">
        <v>343</v>
      </c>
      <c r="C361" s="1">
        <f>INDEX(T_Performances,MATCH($A361,T_Names,0))</f>
        <v>7</v>
      </c>
      <c r="D361">
        <v>181</v>
      </c>
      <c r="E361" s="1">
        <f>INDEX(T_Avg_PPG,MATCH($A361,T_Names,0))</f>
        <v>12.928571428571429</v>
      </c>
      <c r="F361">
        <f>1+COUNTIFS(T_Total,"&gt;"&amp;D361,T_Pos,$B361)</f>
        <v>20</v>
      </c>
      <c r="G361">
        <f>1+COUNTIFS(T_Avg_PPG,"&gt;"&amp;E361,T_Pos,$B361)</f>
        <v>21</v>
      </c>
      <c r="H361">
        <f>_xlfn.IFNA(VLOOKUP($A361,PredictionTable,MATCH(H$1,Analysts,0),FALSE),60)</f>
        <v>42</v>
      </c>
      <c r="I361">
        <f>_xlfn.IFNA(VLOOKUP($A361,PredictionTable,MATCH(I$1,Analysts,0),FALSE),60)</f>
        <v>41</v>
      </c>
      <c r="J361">
        <f>_xlfn.IFNA(VLOOKUP($A361,PredictionTable,MATCH(J$1,Analysts,0),FALSE),60)</f>
        <v>38</v>
      </c>
      <c r="K361">
        <f>_xlfn.IFNA(VLOOKUP($A361,PredictionTable,MATCH(K$1,Analysts,0),FALSE),60)</f>
        <v>42</v>
      </c>
      <c r="L361">
        <f>_xlfn.IFNA(VLOOKUP($A361,PredictionTable,MATCH(L$1,Analysts,0),FALSE),60)</f>
        <v>41</v>
      </c>
      <c r="M361">
        <f>_xlfn.IFNA(VLOOKUP($A361,PredictionTable,MATCH(M$1,Analysts,0),FALSE),60)</f>
        <v>39</v>
      </c>
      <c r="N361">
        <f>_xlfn.IFNA(VLOOKUP($A361,PredictionTable,MATCH(N$1,Analysts,0),FALSE),60)</f>
        <v>42</v>
      </c>
      <c r="O361">
        <f>_xlfn.IFNA(VLOOKUP($A361,PredictionTable,MATCH(O$1,Analysts,0),FALSE),60)</f>
        <v>39</v>
      </c>
      <c r="P361">
        <f>_xlfn.IFNA(VLOOKUP($A361,PredictionTable,MATCH(P$1,Analysts,0),FALSE),60)</f>
        <v>40.5</v>
      </c>
      <c r="V361" s="7" t="s">
        <v>589</v>
      </c>
    </row>
    <row r="362" spans="1:22" x14ac:dyDescent="0.45">
      <c r="A362" s="1" t="s">
        <v>368</v>
      </c>
      <c r="B362" s="1" t="s">
        <v>343</v>
      </c>
      <c r="C362" s="1">
        <f>INDEX(T_Performances,MATCH($A362,T_Names,0))</f>
        <v>8</v>
      </c>
      <c r="D362">
        <v>177.7</v>
      </c>
      <c r="E362" s="1">
        <f>INDEX(T_Avg_PPG,MATCH($A362,T_Names,0))</f>
        <v>10.452941176470588</v>
      </c>
      <c r="F362">
        <f>1+COUNTIFS(T_Total,"&gt;"&amp;D362,T_Pos,$B362)</f>
        <v>21</v>
      </c>
      <c r="G362">
        <f>1+COUNTIFS(T_Avg_PPG,"&gt;"&amp;E362,T_Pos,$B362)</f>
        <v>43</v>
      </c>
      <c r="H362">
        <f>_xlfn.IFNA(VLOOKUP($A362,PredictionTable,MATCH(H$1,Analysts,0),FALSE),60)</f>
        <v>2</v>
      </c>
      <c r="I362">
        <f>_xlfn.IFNA(VLOOKUP($A362,PredictionTable,MATCH(I$1,Analysts,0),FALSE),60)</f>
        <v>2</v>
      </c>
      <c r="J362">
        <f>_xlfn.IFNA(VLOOKUP($A362,PredictionTable,MATCH(J$1,Analysts,0),FALSE),60)</f>
        <v>2</v>
      </c>
      <c r="K362">
        <f>_xlfn.IFNA(VLOOKUP($A362,PredictionTable,MATCH(K$1,Analysts,0),FALSE),60)</f>
        <v>2</v>
      </c>
      <c r="L362">
        <f>_xlfn.IFNA(VLOOKUP($A362,PredictionTable,MATCH(L$1,Analysts,0),FALSE),60)</f>
        <v>1</v>
      </c>
      <c r="M362">
        <f>_xlfn.IFNA(VLOOKUP($A362,PredictionTable,MATCH(M$1,Analysts,0),FALSE),60)</f>
        <v>2</v>
      </c>
      <c r="N362">
        <f>_xlfn.IFNA(VLOOKUP($A362,PredictionTable,MATCH(N$1,Analysts,0),FALSE),60)</f>
        <v>2</v>
      </c>
      <c r="O362">
        <f>_xlfn.IFNA(VLOOKUP($A362,PredictionTable,MATCH(O$1,Analysts,0),FALSE),60)</f>
        <v>1</v>
      </c>
      <c r="P362">
        <f>_xlfn.IFNA(VLOOKUP($A362,PredictionTable,MATCH(P$1,Analysts,0),FALSE),60)</f>
        <v>1.8</v>
      </c>
      <c r="V362" s="7" t="s">
        <v>589</v>
      </c>
    </row>
    <row r="363" spans="1:22" x14ac:dyDescent="0.45">
      <c r="A363" s="1" t="s">
        <v>369</v>
      </c>
      <c r="B363" s="1" t="s">
        <v>343</v>
      </c>
      <c r="C363" s="1">
        <f>INDEX(T_Performances,MATCH($A363,T_Names,0))</f>
        <v>7</v>
      </c>
      <c r="D363">
        <v>172.5</v>
      </c>
      <c r="E363" s="1">
        <f>INDEX(T_Avg_PPG,MATCH($A363,T_Names,0))</f>
        <v>10.147058823529411</v>
      </c>
      <c r="F363">
        <f>1+COUNTIFS(T_Total,"&gt;"&amp;D363,T_Pos,$B363)</f>
        <v>24</v>
      </c>
      <c r="G363">
        <f>1+COUNTIFS(T_Avg_PPG,"&gt;"&amp;E363,T_Pos,$B363)</f>
        <v>47</v>
      </c>
      <c r="H363">
        <f>_xlfn.IFNA(VLOOKUP($A363,PredictionTable,MATCH(H$1,Analysts,0),FALSE),60)</f>
        <v>25</v>
      </c>
      <c r="I363">
        <f>_xlfn.IFNA(VLOOKUP($A363,PredictionTable,MATCH(I$1,Analysts,0),FALSE),60)</f>
        <v>26</v>
      </c>
      <c r="J363">
        <f>_xlfn.IFNA(VLOOKUP($A363,PredictionTable,MATCH(J$1,Analysts,0),FALSE),60)</f>
        <v>23</v>
      </c>
      <c r="K363">
        <f>_xlfn.IFNA(VLOOKUP($A363,PredictionTable,MATCH(K$1,Analysts,0),FALSE),60)</f>
        <v>24</v>
      </c>
      <c r="L363">
        <f>_xlfn.IFNA(VLOOKUP($A363,PredictionTable,MATCH(L$1,Analysts,0),FALSE),60)</f>
        <v>24</v>
      </c>
      <c r="M363">
        <f>_xlfn.IFNA(VLOOKUP($A363,PredictionTable,MATCH(M$1,Analysts,0),FALSE),60)</f>
        <v>25</v>
      </c>
      <c r="N363">
        <f>_xlfn.IFNA(VLOOKUP($A363,PredictionTable,MATCH(N$1,Analysts,0),FALSE),60)</f>
        <v>26</v>
      </c>
      <c r="O363">
        <f>_xlfn.IFNA(VLOOKUP($A363,PredictionTable,MATCH(O$1,Analysts,0),FALSE),60)</f>
        <v>25</v>
      </c>
      <c r="P363">
        <f>_xlfn.IFNA(VLOOKUP($A363,PredictionTable,MATCH(P$1,Analysts,0),FALSE),60)</f>
        <v>24.8</v>
      </c>
      <c r="V363" s="7" t="s">
        <v>589</v>
      </c>
    </row>
    <row r="364" spans="1:22" x14ac:dyDescent="0.45">
      <c r="A364" s="1" t="s">
        <v>370</v>
      </c>
      <c r="B364" s="1" t="s">
        <v>343</v>
      </c>
      <c r="C364" s="1">
        <f>INDEX(T_Performances,MATCH($A364,T_Names,0))</f>
        <v>8</v>
      </c>
      <c r="D364">
        <v>167.1</v>
      </c>
      <c r="E364" s="1">
        <f>INDEX(T_Avg_PPG,MATCH($A364,T_Names,0))</f>
        <v>15.19090909090909</v>
      </c>
      <c r="F364">
        <f>1+COUNTIFS(T_Total,"&gt;"&amp;D364,T_Pos,$B364)</f>
        <v>28</v>
      </c>
      <c r="G364">
        <f>1+COUNTIFS(T_Avg_PPG,"&gt;"&amp;E364,T_Pos,$B364)</f>
        <v>7</v>
      </c>
      <c r="H364">
        <f>_xlfn.IFNA(VLOOKUP($A364,PredictionTable,MATCH(H$1,Analysts,0),FALSE),60)</f>
        <v>7</v>
      </c>
      <c r="I364">
        <f>_xlfn.IFNA(VLOOKUP($A364,PredictionTable,MATCH(I$1,Analysts,0),FALSE),60)</f>
        <v>7</v>
      </c>
      <c r="J364">
        <f>_xlfn.IFNA(VLOOKUP($A364,PredictionTable,MATCH(J$1,Analysts,0),FALSE),60)</f>
        <v>8</v>
      </c>
      <c r="K364">
        <f>_xlfn.IFNA(VLOOKUP($A364,PredictionTable,MATCH(K$1,Analysts,0),FALSE),60)</f>
        <v>7</v>
      </c>
      <c r="L364">
        <f>_xlfn.IFNA(VLOOKUP($A364,PredictionTable,MATCH(L$1,Analysts,0),FALSE),60)</f>
        <v>7</v>
      </c>
      <c r="M364">
        <f>_xlfn.IFNA(VLOOKUP($A364,PredictionTable,MATCH(M$1,Analysts,0),FALSE),60)</f>
        <v>8</v>
      </c>
      <c r="N364">
        <f>_xlfn.IFNA(VLOOKUP($A364,PredictionTable,MATCH(N$1,Analysts,0),FALSE),60)</f>
        <v>8</v>
      </c>
      <c r="O364">
        <f>_xlfn.IFNA(VLOOKUP($A364,PredictionTable,MATCH(O$1,Analysts,0),FALSE),60)</f>
        <v>7</v>
      </c>
      <c r="P364">
        <f>_xlfn.IFNA(VLOOKUP($A364,PredictionTable,MATCH(P$1,Analysts,0),FALSE),60)</f>
        <v>7.4</v>
      </c>
      <c r="V364" s="7" t="s">
        <v>589</v>
      </c>
    </row>
    <row r="365" spans="1:22" x14ac:dyDescent="0.45">
      <c r="A365" s="1" t="s">
        <v>371</v>
      </c>
      <c r="B365" s="1" t="s">
        <v>343</v>
      </c>
      <c r="C365" s="1">
        <f>INDEX(T_Performances,MATCH($A365,T_Names,0))</f>
        <v>8</v>
      </c>
      <c r="D365">
        <v>157.69999999999999</v>
      </c>
      <c r="E365" s="1">
        <f>INDEX(T_Avg_PPG,MATCH($A365,T_Names,0))</f>
        <v>10.513333333333332</v>
      </c>
      <c r="F365">
        <f>1+COUNTIFS(T_Total,"&gt;"&amp;D365,T_Pos,$B365)</f>
        <v>33</v>
      </c>
      <c r="G365">
        <f>1+COUNTIFS(T_Avg_PPG,"&gt;"&amp;E365,T_Pos,$B365)</f>
        <v>42</v>
      </c>
      <c r="H365">
        <f>_xlfn.IFNA(VLOOKUP($A365,PredictionTable,MATCH(H$1,Analysts,0),FALSE),60)</f>
        <v>43</v>
      </c>
      <c r="I365">
        <f>_xlfn.IFNA(VLOOKUP($A365,PredictionTable,MATCH(I$1,Analysts,0),FALSE),60)</f>
        <v>42</v>
      </c>
      <c r="J365">
        <f>_xlfn.IFNA(VLOOKUP($A365,PredictionTable,MATCH(J$1,Analysts,0),FALSE),60)</f>
        <v>45</v>
      </c>
      <c r="K365">
        <f>_xlfn.IFNA(VLOOKUP($A365,PredictionTable,MATCH(K$1,Analysts,0),FALSE),60)</f>
        <v>46</v>
      </c>
      <c r="L365">
        <f>_xlfn.IFNA(VLOOKUP($A365,PredictionTable,MATCH(L$1,Analysts,0),FALSE),60)</f>
        <v>44</v>
      </c>
      <c r="M365">
        <f>_xlfn.IFNA(VLOOKUP($A365,PredictionTable,MATCH(M$1,Analysts,0),FALSE),60)</f>
        <v>49</v>
      </c>
      <c r="N365">
        <f>_xlfn.IFNA(VLOOKUP($A365,PredictionTable,MATCH(N$1,Analysts,0),FALSE),60)</f>
        <v>44</v>
      </c>
      <c r="O365">
        <f>_xlfn.IFNA(VLOOKUP($A365,PredictionTable,MATCH(O$1,Analysts,0),FALSE),60)</f>
        <v>45</v>
      </c>
      <c r="P365">
        <f>_xlfn.IFNA(VLOOKUP($A365,PredictionTable,MATCH(P$1,Analysts,0),FALSE),60)</f>
        <v>44.8</v>
      </c>
      <c r="V365" s="7" t="s">
        <v>589</v>
      </c>
    </row>
    <row r="366" spans="1:22" x14ac:dyDescent="0.45">
      <c r="A366" s="1" t="s">
        <v>372</v>
      </c>
      <c r="B366" s="1" t="s">
        <v>343</v>
      </c>
      <c r="C366" s="1">
        <f>INDEX(T_Performances,MATCH($A366,T_Names,0))</f>
        <v>8</v>
      </c>
      <c r="D366">
        <v>147.5</v>
      </c>
      <c r="E366" s="1">
        <f>INDEX(T_Avg_PPG,MATCH($A366,T_Names,0))</f>
        <v>11.346153846153847</v>
      </c>
      <c r="F366">
        <f>1+COUNTIFS(T_Total,"&gt;"&amp;D366,T_Pos,$B366)</f>
        <v>36</v>
      </c>
      <c r="G366">
        <f>1+COUNTIFS(T_Avg_PPG,"&gt;"&amp;E366,T_Pos,$B366)</f>
        <v>34</v>
      </c>
      <c r="H366">
        <f>_xlfn.IFNA(VLOOKUP($A366,PredictionTable,MATCH(H$1,Analysts,0),FALSE),60)</f>
        <v>60</v>
      </c>
      <c r="I366">
        <f>_xlfn.IFNA(VLOOKUP($A366,PredictionTable,MATCH(I$1,Analysts,0),FALSE),60)</f>
        <v>60</v>
      </c>
      <c r="J366">
        <f>_xlfn.IFNA(VLOOKUP($A366,PredictionTable,MATCH(J$1,Analysts,0),FALSE),60)</f>
        <v>60</v>
      </c>
      <c r="K366">
        <f>_xlfn.IFNA(VLOOKUP($A366,PredictionTable,MATCH(K$1,Analysts,0),FALSE),60)</f>
        <v>60</v>
      </c>
      <c r="L366">
        <f>_xlfn.IFNA(VLOOKUP($A366,PredictionTable,MATCH(L$1,Analysts,0),FALSE),60)</f>
        <v>60</v>
      </c>
      <c r="M366">
        <f>_xlfn.IFNA(VLOOKUP($A366,PredictionTable,MATCH(M$1,Analysts,0),FALSE),60)</f>
        <v>60</v>
      </c>
      <c r="N366">
        <f>_xlfn.IFNA(VLOOKUP($A366,PredictionTable,MATCH(N$1,Analysts,0),FALSE),60)</f>
        <v>60</v>
      </c>
      <c r="O366">
        <f>_xlfn.IFNA(VLOOKUP($A366,PredictionTable,MATCH(O$1,Analysts,0),FALSE),60)</f>
        <v>60</v>
      </c>
      <c r="P366">
        <f>_xlfn.IFNA(VLOOKUP($A366,PredictionTable,MATCH(P$1,Analysts,0),FALSE),60)</f>
        <v>60</v>
      </c>
      <c r="V366" s="7" t="s">
        <v>589</v>
      </c>
    </row>
    <row r="367" spans="1:22" x14ac:dyDescent="0.45">
      <c r="A367" s="1" t="s">
        <v>373</v>
      </c>
      <c r="B367" s="1" t="s">
        <v>343</v>
      </c>
      <c r="C367" s="1">
        <f>INDEX(T_Performances,MATCH($A367,T_Names,0))</f>
        <v>6</v>
      </c>
      <c r="D367">
        <v>142.9</v>
      </c>
      <c r="E367" s="1">
        <f>INDEX(T_Avg_PPG,MATCH($A367,T_Names,0))</f>
        <v>10.207142857142857</v>
      </c>
      <c r="F367">
        <f>1+COUNTIFS(T_Total,"&gt;"&amp;D367,T_Pos,$B367)</f>
        <v>39</v>
      </c>
      <c r="G367">
        <f>1+COUNTIFS(T_Avg_PPG,"&gt;"&amp;E367,T_Pos,$B367)</f>
        <v>46</v>
      </c>
      <c r="H367">
        <f>_xlfn.IFNA(VLOOKUP($A367,PredictionTable,MATCH(H$1,Analysts,0),FALSE),60)</f>
        <v>60</v>
      </c>
      <c r="I367">
        <f>_xlfn.IFNA(VLOOKUP($A367,PredictionTable,MATCH(I$1,Analysts,0),FALSE),60)</f>
        <v>60</v>
      </c>
      <c r="J367">
        <f>_xlfn.IFNA(VLOOKUP($A367,PredictionTable,MATCH(J$1,Analysts,0),FALSE),60)</f>
        <v>60</v>
      </c>
      <c r="K367">
        <f>_xlfn.IFNA(VLOOKUP($A367,PredictionTable,MATCH(K$1,Analysts,0),FALSE),60)</f>
        <v>60</v>
      </c>
      <c r="L367">
        <f>_xlfn.IFNA(VLOOKUP($A367,PredictionTable,MATCH(L$1,Analysts,0),FALSE),60)</f>
        <v>60</v>
      </c>
      <c r="M367">
        <f>_xlfn.IFNA(VLOOKUP($A367,PredictionTable,MATCH(M$1,Analysts,0),FALSE),60)</f>
        <v>60</v>
      </c>
      <c r="N367">
        <f>_xlfn.IFNA(VLOOKUP($A367,PredictionTable,MATCH(N$1,Analysts,0),FALSE),60)</f>
        <v>60</v>
      </c>
      <c r="O367">
        <f>_xlfn.IFNA(VLOOKUP($A367,PredictionTable,MATCH(O$1,Analysts,0),FALSE),60)</f>
        <v>60</v>
      </c>
      <c r="P367">
        <f>_xlfn.IFNA(VLOOKUP($A367,PredictionTable,MATCH(P$1,Analysts,0),FALSE),60)</f>
        <v>60</v>
      </c>
      <c r="V367" s="7" t="s">
        <v>589</v>
      </c>
    </row>
    <row r="368" spans="1:22" x14ac:dyDescent="0.45">
      <c r="A368" s="1" t="s">
        <v>374</v>
      </c>
      <c r="B368" s="1" t="s">
        <v>343</v>
      </c>
      <c r="C368" s="1">
        <f>INDEX(T_Performances,MATCH($A368,T_Names,0))</f>
        <v>5</v>
      </c>
      <c r="D368">
        <v>116.9</v>
      </c>
      <c r="E368" s="1">
        <f>INDEX(T_Avg_PPG,MATCH($A368,T_Names,0))</f>
        <v>9.7416666666666671</v>
      </c>
      <c r="F368">
        <f>1+COUNTIFS(T_Total,"&gt;"&amp;D368,T_Pos,$B368)</f>
        <v>50</v>
      </c>
      <c r="G368">
        <f>1+COUNTIFS(T_Avg_PPG,"&gt;"&amp;E368,T_Pos,$B368)</f>
        <v>50</v>
      </c>
      <c r="H368">
        <f>_xlfn.IFNA(VLOOKUP($A368,PredictionTable,MATCH(H$1,Analysts,0),FALSE),60)</f>
        <v>60</v>
      </c>
      <c r="I368">
        <f>_xlfn.IFNA(VLOOKUP($A368,PredictionTable,MATCH(I$1,Analysts,0),FALSE),60)</f>
        <v>60</v>
      </c>
      <c r="J368">
        <f>_xlfn.IFNA(VLOOKUP($A368,PredictionTable,MATCH(J$1,Analysts,0),FALSE),60)</f>
        <v>60</v>
      </c>
      <c r="K368">
        <f>_xlfn.IFNA(VLOOKUP($A368,PredictionTable,MATCH(K$1,Analysts,0),FALSE),60)</f>
        <v>60</v>
      </c>
      <c r="L368">
        <f>_xlfn.IFNA(VLOOKUP($A368,PredictionTable,MATCH(L$1,Analysts,0),FALSE),60)</f>
        <v>60</v>
      </c>
      <c r="M368">
        <f>_xlfn.IFNA(VLOOKUP($A368,PredictionTable,MATCH(M$1,Analysts,0),FALSE),60)</f>
        <v>60</v>
      </c>
      <c r="N368">
        <f>_xlfn.IFNA(VLOOKUP($A368,PredictionTable,MATCH(N$1,Analysts,0),FALSE),60)</f>
        <v>60</v>
      </c>
      <c r="O368">
        <f>_xlfn.IFNA(VLOOKUP($A368,PredictionTable,MATCH(O$1,Analysts,0),FALSE),60)</f>
        <v>60</v>
      </c>
      <c r="P368">
        <f>_xlfn.IFNA(VLOOKUP($A368,PredictionTable,MATCH(P$1,Analysts,0),FALSE),60)</f>
        <v>60</v>
      </c>
      <c r="V368" s="7" t="s">
        <v>589</v>
      </c>
    </row>
    <row r="369" spans="1:22" x14ac:dyDescent="0.45">
      <c r="A369" s="1" t="s">
        <v>375</v>
      </c>
      <c r="B369" s="1" t="s">
        <v>343</v>
      </c>
      <c r="C369" s="1">
        <f>INDEX(T_Performances,MATCH($A369,T_Names,0))</f>
        <v>9</v>
      </c>
      <c r="D369">
        <v>201.4</v>
      </c>
      <c r="E369" s="1">
        <f>INDEX(T_Avg_PPG,MATCH($A369,T_Names,0))</f>
        <v>11.847058823529412</v>
      </c>
      <c r="F369">
        <f>1+COUNTIFS(T_Total,"&gt;"&amp;D369,T_Pos,$B369)</f>
        <v>11</v>
      </c>
      <c r="G369">
        <f>1+COUNTIFS(T_Avg_PPG,"&gt;"&amp;E369,T_Pos,$B369)</f>
        <v>28</v>
      </c>
      <c r="H369">
        <f>_xlfn.IFNA(VLOOKUP($A369,PredictionTable,MATCH(H$1,Analysts,0),FALSE),60)</f>
        <v>8</v>
      </c>
      <c r="I369">
        <f>_xlfn.IFNA(VLOOKUP($A369,PredictionTable,MATCH(I$1,Analysts,0),FALSE),60)</f>
        <v>8</v>
      </c>
      <c r="J369">
        <f>_xlfn.IFNA(VLOOKUP($A369,PredictionTable,MATCH(J$1,Analysts,0),FALSE),60)</f>
        <v>7</v>
      </c>
      <c r="K369">
        <f>_xlfn.IFNA(VLOOKUP($A369,PredictionTable,MATCH(K$1,Analysts,0),FALSE),60)</f>
        <v>8</v>
      </c>
      <c r="L369">
        <f>_xlfn.IFNA(VLOOKUP($A369,PredictionTable,MATCH(L$1,Analysts,0),FALSE),60)</f>
        <v>8</v>
      </c>
      <c r="M369">
        <f>_xlfn.IFNA(VLOOKUP($A369,PredictionTable,MATCH(M$1,Analysts,0),FALSE),60)</f>
        <v>7</v>
      </c>
      <c r="N369">
        <f>_xlfn.IFNA(VLOOKUP($A369,PredictionTable,MATCH(N$1,Analysts,0),FALSE),60)</f>
        <v>7</v>
      </c>
      <c r="O369">
        <f>_xlfn.IFNA(VLOOKUP($A369,PredictionTable,MATCH(O$1,Analysts,0),FALSE),60)</f>
        <v>8</v>
      </c>
      <c r="P369">
        <f>_xlfn.IFNA(VLOOKUP($A369,PredictionTable,MATCH(P$1,Analysts,0),FALSE),60)</f>
        <v>7.6</v>
      </c>
      <c r="V369" s="7" t="s">
        <v>589</v>
      </c>
    </row>
    <row r="370" spans="1:22" x14ac:dyDescent="0.45">
      <c r="A370" s="1" t="s">
        <v>376</v>
      </c>
      <c r="B370" s="1" t="s">
        <v>343</v>
      </c>
      <c r="C370" s="1">
        <f>INDEX(T_Performances,MATCH($A370,T_Names,0))</f>
        <v>9</v>
      </c>
      <c r="D370">
        <v>174.5</v>
      </c>
      <c r="E370" s="1">
        <f>INDEX(T_Avg_PPG,MATCH($A370,T_Names,0))</f>
        <v>11.633333333333333</v>
      </c>
      <c r="F370">
        <f>1+COUNTIFS(T_Total,"&gt;"&amp;D370,T_Pos,$B370)</f>
        <v>23</v>
      </c>
      <c r="G370">
        <f>1+COUNTIFS(T_Avg_PPG,"&gt;"&amp;E370,T_Pos,$B370)</f>
        <v>29</v>
      </c>
      <c r="H370">
        <f>_xlfn.IFNA(VLOOKUP($A370,PredictionTable,MATCH(H$1,Analysts,0),FALSE),60)</f>
        <v>49</v>
      </c>
      <c r="I370">
        <f>_xlfn.IFNA(VLOOKUP($A370,PredictionTable,MATCH(I$1,Analysts,0),FALSE),60)</f>
        <v>47</v>
      </c>
      <c r="J370">
        <f>_xlfn.IFNA(VLOOKUP($A370,PredictionTable,MATCH(J$1,Analysts,0),FALSE),60)</f>
        <v>51</v>
      </c>
      <c r="K370">
        <f>_xlfn.IFNA(VLOOKUP($A370,PredictionTable,MATCH(K$1,Analysts,0),FALSE),60)</f>
        <v>52</v>
      </c>
      <c r="L370">
        <f>_xlfn.IFNA(VLOOKUP($A370,PredictionTable,MATCH(L$1,Analysts,0),FALSE),60)</f>
        <v>50</v>
      </c>
      <c r="M370">
        <f>_xlfn.IFNA(VLOOKUP($A370,PredictionTable,MATCH(M$1,Analysts,0),FALSE),60)</f>
        <v>51</v>
      </c>
      <c r="N370">
        <f>_xlfn.IFNA(VLOOKUP($A370,PredictionTable,MATCH(N$1,Analysts,0),FALSE),60)</f>
        <v>48</v>
      </c>
      <c r="O370">
        <f>_xlfn.IFNA(VLOOKUP($A370,PredictionTable,MATCH(O$1,Analysts,0),FALSE),60)</f>
        <v>51</v>
      </c>
      <c r="P370">
        <f>_xlfn.IFNA(VLOOKUP($A370,PredictionTable,MATCH(P$1,Analysts,0),FALSE),60)</f>
        <v>49.9</v>
      </c>
      <c r="V370" s="7" t="s">
        <v>589</v>
      </c>
    </row>
    <row r="371" spans="1:22" x14ac:dyDescent="0.45">
      <c r="A371" s="1" t="s">
        <v>377</v>
      </c>
      <c r="B371" s="1" t="s">
        <v>343</v>
      </c>
      <c r="C371" s="1">
        <f>INDEX(T_Performances,MATCH($A371,T_Names,0))</f>
        <v>6</v>
      </c>
      <c r="D371">
        <v>172</v>
      </c>
      <c r="E371" s="1">
        <f>INDEX(T_Avg_PPG,MATCH($A371,T_Names,0))</f>
        <v>11.466666666666667</v>
      </c>
      <c r="F371">
        <f>1+COUNTIFS(T_Total,"&gt;"&amp;D371,T_Pos,$B371)</f>
        <v>25</v>
      </c>
      <c r="G371">
        <f>1+COUNTIFS(T_Avg_PPG,"&gt;"&amp;E371,T_Pos,$B371)</f>
        <v>32</v>
      </c>
      <c r="H371">
        <f>_xlfn.IFNA(VLOOKUP($A371,PredictionTable,MATCH(H$1,Analysts,0),FALSE),60)</f>
        <v>60</v>
      </c>
      <c r="I371">
        <f>_xlfn.IFNA(VLOOKUP($A371,PredictionTable,MATCH(I$1,Analysts,0),FALSE),60)</f>
        <v>60</v>
      </c>
      <c r="J371">
        <f>_xlfn.IFNA(VLOOKUP($A371,PredictionTable,MATCH(J$1,Analysts,0),FALSE),60)</f>
        <v>60</v>
      </c>
      <c r="K371">
        <f>_xlfn.IFNA(VLOOKUP($A371,PredictionTable,MATCH(K$1,Analysts,0),FALSE),60)</f>
        <v>60</v>
      </c>
      <c r="L371">
        <f>_xlfn.IFNA(VLOOKUP($A371,PredictionTable,MATCH(L$1,Analysts,0),FALSE),60)</f>
        <v>60</v>
      </c>
      <c r="M371">
        <f>_xlfn.IFNA(VLOOKUP($A371,PredictionTable,MATCH(M$1,Analysts,0),FALSE),60)</f>
        <v>60</v>
      </c>
      <c r="N371">
        <f>_xlfn.IFNA(VLOOKUP($A371,PredictionTable,MATCH(N$1,Analysts,0),FALSE),60)</f>
        <v>60</v>
      </c>
      <c r="O371">
        <f>_xlfn.IFNA(VLOOKUP($A371,PredictionTable,MATCH(O$1,Analysts,0),FALSE),60)</f>
        <v>60</v>
      </c>
      <c r="P371">
        <f>_xlfn.IFNA(VLOOKUP($A371,PredictionTable,MATCH(P$1,Analysts,0),FALSE),60)</f>
        <v>60</v>
      </c>
      <c r="V371" s="7" t="s">
        <v>589</v>
      </c>
    </row>
    <row r="372" spans="1:22" x14ac:dyDescent="0.45">
      <c r="A372" s="1" t="s">
        <v>378</v>
      </c>
      <c r="B372" s="1" t="s">
        <v>343</v>
      </c>
      <c r="C372" s="1">
        <f>INDEX(T_Performances,MATCH($A372,T_Names,0))</f>
        <v>6</v>
      </c>
      <c r="D372">
        <v>169.5</v>
      </c>
      <c r="E372" s="1">
        <f>INDEX(T_Avg_PPG,MATCH($A372,T_Names,0))</f>
        <v>10.59375</v>
      </c>
      <c r="F372">
        <f>1+COUNTIFS(T_Total,"&gt;"&amp;D372,T_Pos,$B372)</f>
        <v>26</v>
      </c>
      <c r="G372">
        <f>1+COUNTIFS(T_Avg_PPG,"&gt;"&amp;E372,T_Pos,$B372)</f>
        <v>39</v>
      </c>
      <c r="H372">
        <f>_xlfn.IFNA(VLOOKUP($A372,PredictionTable,MATCH(H$1,Analysts,0),FALSE),60)</f>
        <v>45</v>
      </c>
      <c r="I372">
        <f>_xlfn.IFNA(VLOOKUP($A372,PredictionTable,MATCH(I$1,Analysts,0),FALSE),60)</f>
        <v>40</v>
      </c>
      <c r="J372">
        <f>_xlfn.IFNA(VLOOKUP($A372,PredictionTable,MATCH(J$1,Analysts,0),FALSE),60)</f>
        <v>37</v>
      </c>
      <c r="K372">
        <f>_xlfn.IFNA(VLOOKUP($A372,PredictionTable,MATCH(K$1,Analysts,0),FALSE),60)</f>
        <v>31</v>
      </c>
      <c r="L372">
        <f>_xlfn.IFNA(VLOOKUP($A372,PredictionTable,MATCH(L$1,Analysts,0),FALSE),60)</f>
        <v>42</v>
      </c>
      <c r="M372">
        <f>_xlfn.IFNA(VLOOKUP($A372,PredictionTable,MATCH(M$1,Analysts,0),FALSE),60)</f>
        <v>41</v>
      </c>
      <c r="N372">
        <f>_xlfn.IFNA(VLOOKUP($A372,PredictionTable,MATCH(N$1,Analysts,0),FALSE),60)</f>
        <v>39</v>
      </c>
      <c r="O372">
        <f>_xlfn.IFNA(VLOOKUP($A372,PredictionTable,MATCH(O$1,Analysts,0),FALSE),60)</f>
        <v>41</v>
      </c>
      <c r="P372">
        <f>_xlfn.IFNA(VLOOKUP($A372,PredictionTable,MATCH(P$1,Analysts,0),FALSE),60)</f>
        <v>39.5</v>
      </c>
      <c r="V372" s="7" t="s">
        <v>589</v>
      </c>
    </row>
    <row r="373" spans="1:22" x14ac:dyDescent="0.45">
      <c r="A373" s="1" t="s">
        <v>379</v>
      </c>
      <c r="B373" s="1" t="s">
        <v>343</v>
      </c>
      <c r="C373" s="1">
        <f>INDEX(T_Performances,MATCH($A373,T_Names,0))</f>
        <v>7</v>
      </c>
      <c r="D373">
        <v>158.19999999999999</v>
      </c>
      <c r="E373" s="1">
        <f>INDEX(T_Avg_PPG,MATCH($A373,T_Names,0))</f>
        <v>10.546666666666665</v>
      </c>
      <c r="F373">
        <f>1+COUNTIFS(T_Total,"&gt;"&amp;D373,T_Pos,$B373)</f>
        <v>32</v>
      </c>
      <c r="G373">
        <f>1+COUNTIFS(T_Avg_PPG,"&gt;"&amp;E373,T_Pos,$B373)</f>
        <v>40</v>
      </c>
      <c r="H373">
        <f>_xlfn.IFNA(VLOOKUP($A373,PredictionTable,MATCH(H$1,Analysts,0),FALSE),60)</f>
        <v>60</v>
      </c>
      <c r="I373">
        <f>_xlfn.IFNA(VLOOKUP($A373,PredictionTable,MATCH(I$1,Analysts,0),FALSE),60)</f>
        <v>60</v>
      </c>
      <c r="J373">
        <f>_xlfn.IFNA(VLOOKUP($A373,PredictionTable,MATCH(J$1,Analysts,0),FALSE),60)</f>
        <v>60</v>
      </c>
      <c r="K373">
        <f>_xlfn.IFNA(VLOOKUP($A373,PredictionTable,MATCH(K$1,Analysts,0),FALSE),60)</f>
        <v>60</v>
      </c>
      <c r="L373">
        <f>_xlfn.IFNA(VLOOKUP($A373,PredictionTable,MATCH(L$1,Analysts,0),FALSE),60)</f>
        <v>60</v>
      </c>
      <c r="M373">
        <f>_xlfn.IFNA(VLOOKUP($A373,PredictionTable,MATCH(M$1,Analysts,0),FALSE),60)</f>
        <v>60</v>
      </c>
      <c r="N373">
        <f>_xlfn.IFNA(VLOOKUP($A373,PredictionTable,MATCH(N$1,Analysts,0),FALSE),60)</f>
        <v>60</v>
      </c>
      <c r="O373">
        <f>_xlfn.IFNA(VLOOKUP($A373,PredictionTable,MATCH(O$1,Analysts,0),FALSE),60)</f>
        <v>60</v>
      </c>
      <c r="P373">
        <f>_xlfn.IFNA(VLOOKUP($A373,PredictionTable,MATCH(P$1,Analysts,0),FALSE),60)</f>
        <v>60</v>
      </c>
      <c r="V373" s="7" t="s">
        <v>589</v>
      </c>
    </row>
    <row r="374" spans="1:22" x14ac:dyDescent="0.45">
      <c r="A374" s="1" t="s">
        <v>380</v>
      </c>
      <c r="B374" s="1" t="s">
        <v>343</v>
      </c>
      <c r="C374" s="1">
        <f>INDEX(T_Performances,MATCH($A374,T_Names,0))</f>
        <v>7</v>
      </c>
      <c r="D374">
        <v>152.1</v>
      </c>
      <c r="E374" s="1">
        <f>INDEX(T_Avg_PPG,MATCH($A374,T_Names,0))</f>
        <v>9.5062499999999996</v>
      </c>
      <c r="F374">
        <f>1+COUNTIFS(T_Total,"&gt;"&amp;D374,T_Pos,$B374)</f>
        <v>34</v>
      </c>
      <c r="G374">
        <f>1+COUNTIFS(T_Avg_PPG,"&gt;"&amp;E374,T_Pos,$B374)</f>
        <v>52</v>
      </c>
      <c r="H374">
        <f>_xlfn.IFNA(VLOOKUP($A374,PredictionTable,MATCH(H$1,Analysts,0),FALSE),60)</f>
        <v>60</v>
      </c>
      <c r="I374">
        <f>_xlfn.IFNA(VLOOKUP($A374,PredictionTable,MATCH(I$1,Analysts,0),FALSE),60)</f>
        <v>60</v>
      </c>
      <c r="J374">
        <f>_xlfn.IFNA(VLOOKUP($A374,PredictionTable,MATCH(J$1,Analysts,0),FALSE),60)</f>
        <v>60</v>
      </c>
      <c r="K374">
        <f>_xlfn.IFNA(VLOOKUP($A374,PredictionTable,MATCH(K$1,Analysts,0),FALSE),60)</f>
        <v>60</v>
      </c>
      <c r="L374">
        <f>_xlfn.IFNA(VLOOKUP($A374,PredictionTable,MATCH(L$1,Analysts,0),FALSE),60)</f>
        <v>60</v>
      </c>
      <c r="M374">
        <f>_xlfn.IFNA(VLOOKUP($A374,PredictionTable,MATCH(M$1,Analysts,0),FALSE),60)</f>
        <v>60</v>
      </c>
      <c r="N374">
        <f>_xlfn.IFNA(VLOOKUP($A374,PredictionTable,MATCH(N$1,Analysts,0),FALSE),60)</f>
        <v>60</v>
      </c>
      <c r="O374">
        <f>_xlfn.IFNA(VLOOKUP($A374,PredictionTable,MATCH(O$1,Analysts,0),FALSE),60)</f>
        <v>60</v>
      </c>
      <c r="P374">
        <f>_xlfn.IFNA(VLOOKUP($A374,PredictionTable,MATCH(P$1,Analysts,0),FALSE),60)</f>
        <v>60</v>
      </c>
      <c r="V374" s="7" t="s">
        <v>589</v>
      </c>
    </row>
    <row r="375" spans="1:22" x14ac:dyDescent="0.45">
      <c r="A375" s="1" t="s">
        <v>381</v>
      </c>
      <c r="B375" s="1" t="s">
        <v>343</v>
      </c>
      <c r="C375" s="1">
        <f>INDEX(T_Performances,MATCH($A375,T_Names,0))</f>
        <v>7</v>
      </c>
      <c r="D375">
        <v>147.19999999999999</v>
      </c>
      <c r="E375" s="1">
        <f>INDEX(T_Avg_PPG,MATCH($A375,T_Names,0))</f>
        <v>10.514285714285714</v>
      </c>
      <c r="F375">
        <f>1+COUNTIFS(T_Total,"&gt;"&amp;D375,T_Pos,$B375)</f>
        <v>37</v>
      </c>
      <c r="G375">
        <f>1+COUNTIFS(T_Avg_PPG,"&gt;"&amp;E375,T_Pos,$B375)</f>
        <v>41</v>
      </c>
      <c r="H375">
        <f>_xlfn.IFNA(VLOOKUP($A375,PredictionTable,MATCH(H$1,Analysts,0),FALSE),60)</f>
        <v>60</v>
      </c>
      <c r="I375">
        <f>_xlfn.IFNA(VLOOKUP($A375,PredictionTable,MATCH(I$1,Analysts,0),FALSE),60)</f>
        <v>60</v>
      </c>
      <c r="J375">
        <f>_xlfn.IFNA(VLOOKUP($A375,PredictionTable,MATCH(J$1,Analysts,0),FALSE),60)</f>
        <v>60</v>
      </c>
      <c r="K375">
        <f>_xlfn.IFNA(VLOOKUP($A375,PredictionTable,MATCH(K$1,Analysts,0),FALSE),60)</f>
        <v>60</v>
      </c>
      <c r="L375">
        <f>_xlfn.IFNA(VLOOKUP($A375,PredictionTable,MATCH(L$1,Analysts,0),FALSE),60)</f>
        <v>60</v>
      </c>
      <c r="M375">
        <f>_xlfn.IFNA(VLOOKUP($A375,PredictionTable,MATCH(M$1,Analysts,0),FALSE),60)</f>
        <v>60</v>
      </c>
      <c r="N375">
        <f>_xlfn.IFNA(VLOOKUP($A375,PredictionTable,MATCH(N$1,Analysts,0),FALSE),60)</f>
        <v>60</v>
      </c>
      <c r="O375">
        <f>_xlfn.IFNA(VLOOKUP($A375,PredictionTable,MATCH(O$1,Analysts,0),FALSE),60)</f>
        <v>60</v>
      </c>
      <c r="P375">
        <f>_xlfn.IFNA(VLOOKUP($A375,PredictionTable,MATCH(P$1,Analysts,0),FALSE),60)</f>
        <v>60</v>
      </c>
      <c r="V375" s="7" t="s">
        <v>589</v>
      </c>
    </row>
    <row r="376" spans="1:22" x14ac:dyDescent="0.45">
      <c r="A376" s="1" t="s">
        <v>382</v>
      </c>
      <c r="B376" s="1" t="s">
        <v>343</v>
      </c>
      <c r="C376" s="1">
        <f>INDEX(T_Performances,MATCH($A376,T_Names,0))</f>
        <v>6</v>
      </c>
      <c r="D376">
        <v>144.5</v>
      </c>
      <c r="E376" s="1">
        <f>INDEX(T_Avg_PPG,MATCH($A376,T_Names,0))</f>
        <v>9.6333333333333329</v>
      </c>
      <c r="F376">
        <f>1+COUNTIFS(T_Total,"&gt;"&amp;D376,T_Pos,$B376)</f>
        <v>38</v>
      </c>
      <c r="G376">
        <f>1+COUNTIFS(T_Avg_PPG,"&gt;"&amp;E376,T_Pos,$B376)</f>
        <v>51</v>
      </c>
      <c r="H376" t="str">
        <f>_xlfn.IFNA(VLOOKUP($A376,PredictionTable,MATCH(H$1,Analysts,0),FALSE),60)</f>
        <v>NR</v>
      </c>
      <c r="I376">
        <f>_xlfn.IFNA(VLOOKUP($A376,PredictionTable,MATCH(I$1,Analysts,0),FALSE),60)</f>
        <v>60</v>
      </c>
      <c r="J376">
        <f>_xlfn.IFNA(VLOOKUP($A376,PredictionTable,MATCH(J$1,Analysts,0),FALSE),60)</f>
        <v>60</v>
      </c>
      <c r="K376">
        <f>_xlfn.IFNA(VLOOKUP($A376,PredictionTable,MATCH(K$1,Analysts,0),FALSE),60)</f>
        <v>60</v>
      </c>
      <c r="L376" t="str">
        <f>_xlfn.IFNA(VLOOKUP($A376,PredictionTable,MATCH(L$1,Analysts,0),FALSE),60)</f>
        <v>NR</v>
      </c>
      <c r="M376">
        <f>_xlfn.IFNA(VLOOKUP($A376,PredictionTable,MATCH(M$1,Analysts,0),FALSE),60)</f>
        <v>60</v>
      </c>
      <c r="N376" t="str">
        <f>_xlfn.IFNA(VLOOKUP($A376,PredictionTable,MATCH(N$1,Analysts,0),FALSE),60)</f>
        <v>NR</v>
      </c>
      <c r="O376">
        <f>_xlfn.IFNA(VLOOKUP($A376,PredictionTable,MATCH(O$1,Analysts,0),FALSE),60)</f>
        <v>49</v>
      </c>
      <c r="P376">
        <f>_xlfn.IFNA(VLOOKUP($A376,PredictionTable,MATCH(P$1,Analysts,0),FALSE),60)</f>
        <v>59</v>
      </c>
      <c r="V376" s="7" t="s">
        <v>589</v>
      </c>
    </row>
    <row r="377" spans="1:22" x14ac:dyDescent="0.45">
      <c r="A377" s="1" t="s">
        <v>383</v>
      </c>
      <c r="B377" s="1" t="s">
        <v>343</v>
      </c>
      <c r="C377" s="1">
        <f>INDEX(T_Performances,MATCH($A377,T_Names,0))</f>
        <v>6</v>
      </c>
      <c r="D377">
        <v>128.1</v>
      </c>
      <c r="E377" s="1">
        <f>INDEX(T_Avg_PPG,MATCH($A377,T_Names,0))</f>
        <v>9.15</v>
      </c>
      <c r="F377">
        <f>1+COUNTIFS(T_Total,"&gt;"&amp;D377,T_Pos,$B377)</f>
        <v>44</v>
      </c>
      <c r="G377">
        <f>1+COUNTIFS(T_Avg_PPG,"&gt;"&amp;E377,T_Pos,$B377)</f>
        <v>55</v>
      </c>
      <c r="H377">
        <f>_xlfn.IFNA(VLOOKUP($A377,PredictionTable,MATCH(H$1,Analysts,0),FALSE),60)</f>
        <v>60</v>
      </c>
      <c r="I377">
        <f>_xlfn.IFNA(VLOOKUP($A377,PredictionTable,MATCH(I$1,Analysts,0),FALSE),60)</f>
        <v>60</v>
      </c>
      <c r="J377">
        <f>_xlfn.IFNA(VLOOKUP($A377,PredictionTable,MATCH(J$1,Analysts,0),FALSE),60)</f>
        <v>60</v>
      </c>
      <c r="K377">
        <f>_xlfn.IFNA(VLOOKUP($A377,PredictionTable,MATCH(K$1,Analysts,0),FALSE),60)</f>
        <v>60</v>
      </c>
      <c r="L377">
        <f>_xlfn.IFNA(VLOOKUP($A377,PredictionTable,MATCH(L$1,Analysts,0),FALSE),60)</f>
        <v>60</v>
      </c>
      <c r="M377">
        <f>_xlfn.IFNA(VLOOKUP($A377,PredictionTable,MATCH(M$1,Analysts,0),FALSE),60)</f>
        <v>60</v>
      </c>
      <c r="N377">
        <f>_xlfn.IFNA(VLOOKUP($A377,PredictionTable,MATCH(N$1,Analysts,0),FALSE),60)</f>
        <v>60</v>
      </c>
      <c r="O377">
        <f>_xlfn.IFNA(VLOOKUP($A377,PredictionTable,MATCH(O$1,Analysts,0),FALSE),60)</f>
        <v>60</v>
      </c>
      <c r="P377">
        <f>_xlfn.IFNA(VLOOKUP($A377,PredictionTable,MATCH(P$1,Analysts,0),FALSE),60)</f>
        <v>60</v>
      </c>
      <c r="V377" s="7" t="s">
        <v>589</v>
      </c>
    </row>
    <row r="378" spans="1:22" x14ac:dyDescent="0.45">
      <c r="A378" s="1" t="s">
        <v>384</v>
      </c>
      <c r="B378" s="1" t="s">
        <v>343</v>
      </c>
      <c r="C378" s="1">
        <f>INDEX(T_Performances,MATCH($A378,T_Names,0))</f>
        <v>4</v>
      </c>
      <c r="D378">
        <v>114.5</v>
      </c>
      <c r="E378" s="1">
        <f>INDEX(T_Avg_PPG,MATCH($A378,T_Names,0))</f>
        <v>8.8076923076923084</v>
      </c>
      <c r="F378">
        <f>1+COUNTIFS(T_Total,"&gt;"&amp;D378,T_Pos,$B378)</f>
        <v>53</v>
      </c>
      <c r="G378">
        <f>1+COUNTIFS(T_Avg_PPG,"&gt;"&amp;E378,T_Pos,$B378)</f>
        <v>57</v>
      </c>
      <c r="H378">
        <f>_xlfn.IFNA(VLOOKUP($A378,PredictionTable,MATCH(H$1,Analysts,0),FALSE),60)</f>
        <v>60</v>
      </c>
      <c r="I378">
        <f>_xlfn.IFNA(VLOOKUP($A378,PredictionTable,MATCH(I$1,Analysts,0),FALSE),60)</f>
        <v>60</v>
      </c>
      <c r="J378">
        <f>_xlfn.IFNA(VLOOKUP($A378,PredictionTable,MATCH(J$1,Analysts,0),FALSE),60)</f>
        <v>60</v>
      </c>
      <c r="K378">
        <f>_xlfn.IFNA(VLOOKUP($A378,PredictionTable,MATCH(K$1,Analysts,0),FALSE),60)</f>
        <v>60</v>
      </c>
      <c r="L378">
        <f>_xlfn.IFNA(VLOOKUP($A378,PredictionTable,MATCH(L$1,Analysts,0),FALSE),60)</f>
        <v>60</v>
      </c>
      <c r="M378">
        <f>_xlfn.IFNA(VLOOKUP($A378,PredictionTable,MATCH(M$1,Analysts,0),FALSE),60)</f>
        <v>60</v>
      </c>
      <c r="N378">
        <f>_xlfn.IFNA(VLOOKUP($A378,PredictionTable,MATCH(N$1,Analysts,0),FALSE),60)</f>
        <v>60</v>
      </c>
      <c r="O378">
        <f>_xlfn.IFNA(VLOOKUP($A378,PredictionTable,MATCH(O$1,Analysts,0),FALSE),60)</f>
        <v>60</v>
      </c>
      <c r="P378">
        <f>_xlfn.IFNA(VLOOKUP($A378,PredictionTable,MATCH(P$1,Analysts,0),FALSE),60)</f>
        <v>60</v>
      </c>
      <c r="V378" s="7" t="s">
        <v>589</v>
      </c>
    </row>
    <row r="379" spans="1:22" x14ac:dyDescent="0.45">
      <c r="A379" s="1" t="s">
        <v>385</v>
      </c>
      <c r="B379" s="1" t="s">
        <v>343</v>
      </c>
      <c r="C379" s="1">
        <f>INDEX(T_Performances,MATCH($A379,T_Names,0))</f>
        <v>4</v>
      </c>
      <c r="D379">
        <v>112.8</v>
      </c>
      <c r="E379" s="1">
        <f>INDEX(T_Avg_PPG,MATCH($A379,T_Names,0))</f>
        <v>16.114285714285714</v>
      </c>
      <c r="F379">
        <f>1+COUNTIFS(T_Total,"&gt;"&amp;D379,T_Pos,$B379)</f>
        <v>54</v>
      </c>
      <c r="G379">
        <f>1+COUNTIFS(T_Avg_PPG,"&gt;"&amp;E379,T_Pos,$B379)</f>
        <v>3</v>
      </c>
      <c r="H379">
        <f>_xlfn.IFNA(VLOOKUP($A379,PredictionTable,MATCH(H$1,Analysts,0),FALSE),60)</f>
        <v>34</v>
      </c>
      <c r="I379">
        <f>_xlfn.IFNA(VLOOKUP($A379,PredictionTable,MATCH(I$1,Analysts,0),FALSE),60)</f>
        <v>29</v>
      </c>
      <c r="J379">
        <f>_xlfn.IFNA(VLOOKUP($A379,PredictionTable,MATCH(J$1,Analysts,0),FALSE),60)</f>
        <v>28</v>
      </c>
      <c r="K379">
        <f>_xlfn.IFNA(VLOOKUP($A379,PredictionTable,MATCH(K$1,Analysts,0),FALSE),60)</f>
        <v>32</v>
      </c>
      <c r="L379">
        <f>_xlfn.IFNA(VLOOKUP($A379,PredictionTable,MATCH(L$1,Analysts,0),FALSE),60)</f>
        <v>27</v>
      </c>
      <c r="M379">
        <f>_xlfn.IFNA(VLOOKUP($A379,PredictionTable,MATCH(M$1,Analysts,0),FALSE),60)</f>
        <v>29</v>
      </c>
      <c r="N379">
        <f>_xlfn.IFNA(VLOOKUP($A379,PredictionTable,MATCH(N$1,Analysts,0),FALSE),60)</f>
        <v>35</v>
      </c>
      <c r="O379">
        <f>_xlfn.IFNA(VLOOKUP($A379,PredictionTable,MATCH(O$1,Analysts,0),FALSE),60)</f>
        <v>30</v>
      </c>
      <c r="P379">
        <f>_xlfn.IFNA(VLOOKUP($A379,PredictionTable,MATCH(P$1,Analysts,0),FALSE),60)</f>
        <v>30.5</v>
      </c>
      <c r="V379" s="7" t="s">
        <v>589</v>
      </c>
    </row>
    <row r="380" spans="1:22" x14ac:dyDescent="0.45">
      <c r="A380" s="1" t="s">
        <v>386</v>
      </c>
      <c r="B380" s="1" t="s">
        <v>343</v>
      </c>
      <c r="C380" s="1">
        <f>INDEX(T_Performances,MATCH($A380,T_Names,0))</f>
        <v>4</v>
      </c>
      <c r="D380">
        <v>110</v>
      </c>
      <c r="E380" s="1">
        <f>INDEX(T_Avg_PPG,MATCH($A380,T_Names,0))</f>
        <v>8.4615384615384617</v>
      </c>
      <c r="F380">
        <f>1+COUNTIFS(T_Total,"&gt;"&amp;D380,T_Pos,$B380)</f>
        <v>55</v>
      </c>
      <c r="G380">
        <f>1+COUNTIFS(T_Avg_PPG,"&gt;"&amp;E380,T_Pos,$B380)</f>
        <v>62</v>
      </c>
      <c r="H380">
        <f>_xlfn.IFNA(VLOOKUP($A380,PredictionTable,MATCH(H$1,Analysts,0),FALSE),60)</f>
        <v>60</v>
      </c>
      <c r="I380">
        <f>_xlfn.IFNA(VLOOKUP($A380,PredictionTable,MATCH(I$1,Analysts,0),FALSE),60)</f>
        <v>60</v>
      </c>
      <c r="J380">
        <f>_xlfn.IFNA(VLOOKUP($A380,PredictionTable,MATCH(J$1,Analysts,0),FALSE),60)</f>
        <v>60</v>
      </c>
      <c r="K380">
        <f>_xlfn.IFNA(VLOOKUP($A380,PredictionTable,MATCH(K$1,Analysts,0),FALSE),60)</f>
        <v>60</v>
      </c>
      <c r="L380">
        <f>_xlfn.IFNA(VLOOKUP($A380,PredictionTable,MATCH(L$1,Analysts,0),FALSE),60)</f>
        <v>60</v>
      </c>
      <c r="M380">
        <f>_xlfn.IFNA(VLOOKUP($A380,PredictionTable,MATCH(M$1,Analysts,0),FALSE),60)</f>
        <v>60</v>
      </c>
      <c r="N380">
        <f>_xlfn.IFNA(VLOOKUP($A380,PredictionTable,MATCH(N$1,Analysts,0),FALSE),60)</f>
        <v>60</v>
      </c>
      <c r="O380">
        <f>_xlfn.IFNA(VLOOKUP($A380,PredictionTable,MATCH(O$1,Analysts,0),FALSE),60)</f>
        <v>60</v>
      </c>
      <c r="P380">
        <f>_xlfn.IFNA(VLOOKUP($A380,PredictionTable,MATCH(P$1,Analysts,0),FALSE),60)</f>
        <v>60</v>
      </c>
      <c r="V380" s="7" t="s">
        <v>589</v>
      </c>
    </row>
    <row r="381" spans="1:22" x14ac:dyDescent="0.45">
      <c r="A381" s="1" t="s">
        <v>387</v>
      </c>
      <c r="B381" s="1" t="s">
        <v>343</v>
      </c>
      <c r="C381" s="1">
        <f>INDEX(T_Performances,MATCH($A381,T_Names,0))</f>
        <v>6</v>
      </c>
      <c r="D381">
        <v>98.42</v>
      </c>
      <c r="E381" s="1">
        <f>INDEX(T_Avg_PPG,MATCH($A381,T_Names,0))</f>
        <v>12.3025</v>
      </c>
      <c r="F381">
        <f>1+COUNTIFS(T_Total,"&gt;"&amp;D381,T_Pos,$B381)</f>
        <v>66</v>
      </c>
      <c r="G381">
        <f>1+COUNTIFS(T_Avg_PPG,"&gt;"&amp;E381,T_Pos,$B381)</f>
        <v>26</v>
      </c>
      <c r="H381">
        <f>_xlfn.IFNA(VLOOKUP($A381,PredictionTable,MATCH(H$1,Analysts,0),FALSE),60)</f>
        <v>24</v>
      </c>
      <c r="I381">
        <f>_xlfn.IFNA(VLOOKUP($A381,PredictionTable,MATCH(I$1,Analysts,0),FALSE),60)</f>
        <v>22</v>
      </c>
      <c r="J381">
        <f>_xlfn.IFNA(VLOOKUP($A381,PredictionTable,MATCH(J$1,Analysts,0),FALSE),60)</f>
        <v>17</v>
      </c>
      <c r="K381">
        <f>_xlfn.IFNA(VLOOKUP($A381,PredictionTable,MATCH(K$1,Analysts,0),FALSE),60)</f>
        <v>22</v>
      </c>
      <c r="L381">
        <f>_xlfn.IFNA(VLOOKUP($A381,PredictionTable,MATCH(L$1,Analysts,0),FALSE),60)</f>
        <v>23</v>
      </c>
      <c r="M381">
        <f>_xlfn.IFNA(VLOOKUP($A381,PredictionTable,MATCH(M$1,Analysts,0),FALSE),60)</f>
        <v>20</v>
      </c>
      <c r="N381">
        <f>_xlfn.IFNA(VLOOKUP($A381,PredictionTable,MATCH(N$1,Analysts,0),FALSE),60)</f>
        <v>23</v>
      </c>
      <c r="O381">
        <f>_xlfn.IFNA(VLOOKUP($A381,PredictionTable,MATCH(O$1,Analysts,0),FALSE),60)</f>
        <v>16</v>
      </c>
      <c r="P381">
        <f>_xlfn.IFNA(VLOOKUP($A381,PredictionTable,MATCH(P$1,Analysts,0),FALSE),60)</f>
        <v>20.9</v>
      </c>
      <c r="V381" s="7" t="s">
        <v>589</v>
      </c>
    </row>
    <row r="382" spans="1:22" x14ac:dyDescent="0.45">
      <c r="A382" s="1" t="s">
        <v>388</v>
      </c>
      <c r="B382" s="1" t="s">
        <v>343</v>
      </c>
      <c r="C382" s="1">
        <f>INDEX(T_Performances,MATCH($A382,T_Names,0))</f>
        <v>3</v>
      </c>
      <c r="D382">
        <v>78</v>
      </c>
      <c r="E382" s="1">
        <f>INDEX(T_Avg_PPG,MATCH($A382,T_Names,0))</f>
        <v>11.142857142857142</v>
      </c>
      <c r="F382">
        <f>1+COUNTIFS(T_Total,"&gt;"&amp;D382,T_Pos,$B382)</f>
        <v>79</v>
      </c>
      <c r="G382">
        <f>1+COUNTIFS(T_Avg_PPG,"&gt;"&amp;E382,T_Pos,$B382)</f>
        <v>35</v>
      </c>
      <c r="H382">
        <f>_xlfn.IFNA(VLOOKUP($A382,PredictionTable,MATCH(H$1,Analysts,0),FALSE),60)</f>
        <v>60</v>
      </c>
      <c r="I382">
        <f>_xlfn.IFNA(VLOOKUP($A382,PredictionTable,MATCH(I$1,Analysts,0),FALSE),60)</f>
        <v>60</v>
      </c>
      <c r="J382">
        <f>_xlfn.IFNA(VLOOKUP($A382,PredictionTable,MATCH(J$1,Analysts,0),FALSE),60)</f>
        <v>60</v>
      </c>
      <c r="K382">
        <f>_xlfn.IFNA(VLOOKUP($A382,PredictionTable,MATCH(K$1,Analysts,0),FALSE),60)</f>
        <v>60</v>
      </c>
      <c r="L382">
        <f>_xlfn.IFNA(VLOOKUP($A382,PredictionTable,MATCH(L$1,Analysts,0),FALSE),60)</f>
        <v>60</v>
      </c>
      <c r="M382">
        <f>_xlfn.IFNA(VLOOKUP($A382,PredictionTable,MATCH(M$1,Analysts,0),FALSE),60)</f>
        <v>60</v>
      </c>
      <c r="N382">
        <f>_xlfn.IFNA(VLOOKUP($A382,PredictionTable,MATCH(N$1,Analysts,0),FALSE),60)</f>
        <v>60</v>
      </c>
      <c r="O382">
        <f>_xlfn.IFNA(VLOOKUP($A382,PredictionTable,MATCH(O$1,Analysts,0),FALSE),60)</f>
        <v>60</v>
      </c>
      <c r="P382">
        <f>_xlfn.IFNA(VLOOKUP($A382,PredictionTable,MATCH(P$1,Analysts,0),FALSE),60)</f>
        <v>60</v>
      </c>
      <c r="V382" s="7" t="s">
        <v>589</v>
      </c>
    </row>
    <row r="383" spans="1:22" x14ac:dyDescent="0.45">
      <c r="A383" s="1" t="s">
        <v>389</v>
      </c>
      <c r="B383" s="1" t="s">
        <v>343</v>
      </c>
      <c r="C383" s="1">
        <f>INDEX(T_Performances,MATCH($A383,T_Names,0))</f>
        <v>3</v>
      </c>
      <c r="D383">
        <v>72.599999999999994</v>
      </c>
      <c r="E383" s="1">
        <f>INDEX(T_Avg_PPG,MATCH($A383,T_Names,0))</f>
        <v>8.0666666666666664</v>
      </c>
      <c r="F383">
        <f>1+COUNTIFS(T_Total,"&gt;"&amp;D383,T_Pos,$B383)</f>
        <v>86</v>
      </c>
      <c r="G383">
        <f>1+COUNTIFS(T_Avg_PPG,"&gt;"&amp;E383,T_Pos,$B383)</f>
        <v>70</v>
      </c>
      <c r="H383">
        <f>_xlfn.IFNA(VLOOKUP($A383,PredictionTable,MATCH(H$1,Analysts,0),FALSE),60)</f>
        <v>35</v>
      </c>
      <c r="I383">
        <f>_xlfn.IFNA(VLOOKUP($A383,PredictionTable,MATCH(I$1,Analysts,0),FALSE),60)</f>
        <v>32</v>
      </c>
      <c r="J383">
        <f>_xlfn.IFNA(VLOOKUP($A383,PredictionTable,MATCH(J$1,Analysts,0),FALSE),60)</f>
        <v>34</v>
      </c>
      <c r="K383">
        <f>_xlfn.IFNA(VLOOKUP($A383,PredictionTable,MATCH(K$1,Analysts,0),FALSE),60)</f>
        <v>33</v>
      </c>
      <c r="L383">
        <f>_xlfn.IFNA(VLOOKUP($A383,PredictionTable,MATCH(L$1,Analysts,0),FALSE),60)</f>
        <v>34</v>
      </c>
      <c r="M383">
        <f>_xlfn.IFNA(VLOOKUP($A383,PredictionTable,MATCH(M$1,Analysts,0),FALSE),60)</f>
        <v>32</v>
      </c>
      <c r="N383">
        <f>_xlfn.IFNA(VLOOKUP($A383,PredictionTable,MATCH(N$1,Analysts,0),FALSE),60)</f>
        <v>33</v>
      </c>
      <c r="O383">
        <f>_xlfn.IFNA(VLOOKUP($A383,PredictionTable,MATCH(O$1,Analysts,0),FALSE),60)</f>
        <v>34</v>
      </c>
      <c r="P383">
        <f>_xlfn.IFNA(VLOOKUP($A383,PredictionTable,MATCH(P$1,Analysts,0),FALSE),60)</f>
        <v>33.4</v>
      </c>
      <c r="V383" s="7" t="s">
        <v>589</v>
      </c>
    </row>
    <row r="384" spans="1:22" x14ac:dyDescent="0.45">
      <c r="A384" s="1" t="s">
        <v>390</v>
      </c>
      <c r="B384" s="1" t="s">
        <v>343</v>
      </c>
      <c r="C384" s="1">
        <f>INDEX(T_Performances,MATCH($A384,T_Names,0))</f>
        <v>8</v>
      </c>
      <c r="D384">
        <v>165.5</v>
      </c>
      <c r="E384" s="1">
        <f>INDEX(T_Avg_PPG,MATCH($A384,T_Names,0))</f>
        <v>11.033333333333333</v>
      </c>
      <c r="F384">
        <f>1+COUNTIFS(T_Total,"&gt;"&amp;D384,T_Pos,$B384)</f>
        <v>29</v>
      </c>
      <c r="G384">
        <f>1+COUNTIFS(T_Avg_PPG,"&gt;"&amp;E384,T_Pos,$B384)</f>
        <v>37</v>
      </c>
      <c r="H384">
        <f>_xlfn.IFNA(VLOOKUP($A384,PredictionTable,MATCH(H$1,Analysts,0),FALSE),60)</f>
        <v>60</v>
      </c>
      <c r="I384">
        <f>_xlfn.IFNA(VLOOKUP($A384,PredictionTable,MATCH(I$1,Analysts,0),FALSE),60)</f>
        <v>60</v>
      </c>
      <c r="J384">
        <f>_xlfn.IFNA(VLOOKUP($A384,PredictionTable,MATCH(J$1,Analysts,0),FALSE),60)</f>
        <v>60</v>
      </c>
      <c r="K384">
        <f>_xlfn.IFNA(VLOOKUP($A384,PredictionTable,MATCH(K$1,Analysts,0),FALSE),60)</f>
        <v>60</v>
      </c>
      <c r="L384">
        <f>_xlfn.IFNA(VLOOKUP($A384,PredictionTable,MATCH(L$1,Analysts,0),FALSE),60)</f>
        <v>60</v>
      </c>
      <c r="M384">
        <f>_xlfn.IFNA(VLOOKUP($A384,PredictionTable,MATCH(M$1,Analysts,0),FALSE),60)</f>
        <v>60</v>
      </c>
      <c r="N384">
        <f>_xlfn.IFNA(VLOOKUP($A384,PredictionTable,MATCH(N$1,Analysts,0),FALSE),60)</f>
        <v>60</v>
      </c>
      <c r="O384">
        <f>_xlfn.IFNA(VLOOKUP($A384,PredictionTable,MATCH(O$1,Analysts,0),FALSE),60)</f>
        <v>60</v>
      </c>
      <c r="P384">
        <f>_xlfn.IFNA(VLOOKUP($A384,PredictionTable,MATCH(P$1,Analysts,0),FALSE),60)</f>
        <v>60</v>
      </c>
      <c r="V384" s="7" t="s">
        <v>589</v>
      </c>
    </row>
    <row r="385" spans="1:22" x14ac:dyDescent="0.45">
      <c r="A385" s="1" t="s">
        <v>391</v>
      </c>
      <c r="B385" s="1" t="s">
        <v>343</v>
      </c>
      <c r="C385" s="1">
        <f>INDEX(T_Performances,MATCH($A385,T_Names,0))</f>
        <v>6</v>
      </c>
      <c r="D385">
        <v>134.9</v>
      </c>
      <c r="E385" s="1">
        <f>INDEX(T_Avg_PPG,MATCH($A385,T_Names,0))</f>
        <v>10.376923076923077</v>
      </c>
      <c r="F385">
        <f>1+COUNTIFS(T_Total,"&gt;"&amp;D385,T_Pos,$B385)</f>
        <v>42</v>
      </c>
      <c r="G385">
        <f>1+COUNTIFS(T_Avg_PPG,"&gt;"&amp;E385,T_Pos,$B385)</f>
        <v>45</v>
      </c>
      <c r="H385">
        <f>_xlfn.IFNA(VLOOKUP($A385,PredictionTable,MATCH(H$1,Analysts,0),FALSE),60)</f>
        <v>28</v>
      </c>
      <c r="I385">
        <f>_xlfn.IFNA(VLOOKUP($A385,PredictionTable,MATCH(I$1,Analysts,0),FALSE),60)</f>
        <v>28</v>
      </c>
      <c r="J385">
        <f>_xlfn.IFNA(VLOOKUP($A385,PredictionTable,MATCH(J$1,Analysts,0),FALSE),60)</f>
        <v>29</v>
      </c>
      <c r="K385">
        <f>_xlfn.IFNA(VLOOKUP($A385,PredictionTable,MATCH(K$1,Analysts,0),FALSE),60)</f>
        <v>27</v>
      </c>
      <c r="L385">
        <f>_xlfn.IFNA(VLOOKUP($A385,PredictionTable,MATCH(L$1,Analysts,0),FALSE),60)</f>
        <v>29</v>
      </c>
      <c r="M385">
        <f>_xlfn.IFNA(VLOOKUP($A385,PredictionTable,MATCH(M$1,Analysts,0),FALSE),60)</f>
        <v>28</v>
      </c>
      <c r="N385">
        <f>_xlfn.IFNA(VLOOKUP($A385,PredictionTable,MATCH(N$1,Analysts,0),FALSE),60)</f>
        <v>28</v>
      </c>
      <c r="O385">
        <f>_xlfn.IFNA(VLOOKUP($A385,PredictionTable,MATCH(O$1,Analysts,0),FALSE),60)</f>
        <v>31</v>
      </c>
      <c r="P385">
        <f>_xlfn.IFNA(VLOOKUP($A385,PredictionTable,MATCH(P$1,Analysts,0),FALSE),60)</f>
        <v>28.5</v>
      </c>
      <c r="V385" s="7" t="s">
        <v>589</v>
      </c>
    </row>
    <row r="386" spans="1:22" x14ac:dyDescent="0.45">
      <c r="A386" s="1" t="s">
        <v>392</v>
      </c>
      <c r="B386" s="1" t="s">
        <v>343</v>
      </c>
      <c r="C386" s="1">
        <f>INDEX(T_Performances,MATCH($A386,T_Names,0))</f>
        <v>3</v>
      </c>
      <c r="D386">
        <v>120.6</v>
      </c>
      <c r="E386" s="1">
        <f>INDEX(T_Avg_PPG,MATCH($A386,T_Names,0))</f>
        <v>8.6142857142857139</v>
      </c>
      <c r="F386">
        <f>1+COUNTIFS(T_Total,"&gt;"&amp;D386,T_Pos,$B386)</f>
        <v>46</v>
      </c>
      <c r="G386">
        <f>1+COUNTIFS(T_Avg_PPG,"&gt;"&amp;E386,T_Pos,$B386)</f>
        <v>60</v>
      </c>
      <c r="H386">
        <f>_xlfn.IFNA(VLOOKUP($A386,PredictionTable,MATCH(H$1,Analysts,0),FALSE),60)</f>
        <v>22</v>
      </c>
      <c r="I386">
        <f>_xlfn.IFNA(VLOOKUP($A386,PredictionTable,MATCH(I$1,Analysts,0),FALSE),60)</f>
        <v>23</v>
      </c>
      <c r="J386">
        <f>_xlfn.IFNA(VLOOKUP($A386,PredictionTable,MATCH(J$1,Analysts,0),FALSE),60)</f>
        <v>20</v>
      </c>
      <c r="K386">
        <f>_xlfn.IFNA(VLOOKUP($A386,PredictionTable,MATCH(K$1,Analysts,0),FALSE),60)</f>
        <v>19</v>
      </c>
      <c r="L386">
        <f>_xlfn.IFNA(VLOOKUP($A386,PredictionTable,MATCH(L$1,Analysts,0),FALSE),60)</f>
        <v>21</v>
      </c>
      <c r="M386">
        <f>_xlfn.IFNA(VLOOKUP($A386,PredictionTable,MATCH(M$1,Analysts,0),FALSE),60)</f>
        <v>23</v>
      </c>
      <c r="N386">
        <f>_xlfn.IFNA(VLOOKUP($A386,PredictionTable,MATCH(N$1,Analysts,0),FALSE),60)</f>
        <v>10</v>
      </c>
      <c r="O386">
        <f>_xlfn.IFNA(VLOOKUP($A386,PredictionTable,MATCH(O$1,Analysts,0),FALSE),60)</f>
        <v>21</v>
      </c>
      <c r="P386">
        <f>_xlfn.IFNA(VLOOKUP($A386,PredictionTable,MATCH(P$1,Analysts,0),FALSE),60)</f>
        <v>19.899999999999999</v>
      </c>
      <c r="V386" s="7" t="s">
        <v>589</v>
      </c>
    </row>
    <row r="387" spans="1:22" x14ac:dyDescent="0.45">
      <c r="A387" s="1" t="s">
        <v>393</v>
      </c>
      <c r="B387" s="1" t="s">
        <v>343</v>
      </c>
      <c r="C387" s="1">
        <f>INDEX(T_Performances,MATCH($A387,T_Names,0))</f>
        <v>5</v>
      </c>
      <c r="D387">
        <v>119.7</v>
      </c>
      <c r="E387" s="1">
        <f>INDEX(T_Avg_PPG,MATCH($A387,T_Names,0))</f>
        <v>9.2076923076923087</v>
      </c>
      <c r="F387">
        <f>1+COUNTIFS(T_Total,"&gt;"&amp;D387,T_Pos,$B387)</f>
        <v>47</v>
      </c>
      <c r="G387">
        <f>1+COUNTIFS(T_Avg_PPG,"&gt;"&amp;E387,T_Pos,$B387)</f>
        <v>54</v>
      </c>
      <c r="H387">
        <f>_xlfn.IFNA(VLOOKUP($A387,PredictionTable,MATCH(H$1,Analysts,0),FALSE),60)</f>
        <v>60</v>
      </c>
      <c r="I387">
        <f>_xlfn.IFNA(VLOOKUP($A387,PredictionTable,MATCH(I$1,Analysts,0),FALSE),60)</f>
        <v>60</v>
      </c>
      <c r="J387">
        <f>_xlfn.IFNA(VLOOKUP($A387,PredictionTable,MATCH(J$1,Analysts,0),FALSE),60)</f>
        <v>60</v>
      </c>
      <c r="K387">
        <f>_xlfn.IFNA(VLOOKUP($A387,PredictionTable,MATCH(K$1,Analysts,0),FALSE),60)</f>
        <v>60</v>
      </c>
      <c r="L387">
        <f>_xlfn.IFNA(VLOOKUP($A387,PredictionTable,MATCH(L$1,Analysts,0),FALSE),60)</f>
        <v>60</v>
      </c>
      <c r="M387">
        <f>_xlfn.IFNA(VLOOKUP($A387,PredictionTable,MATCH(M$1,Analysts,0),FALSE),60)</f>
        <v>60</v>
      </c>
      <c r="N387">
        <f>_xlfn.IFNA(VLOOKUP($A387,PredictionTable,MATCH(N$1,Analysts,0),FALSE),60)</f>
        <v>60</v>
      </c>
      <c r="O387">
        <f>_xlfn.IFNA(VLOOKUP($A387,PredictionTable,MATCH(O$1,Analysts,0),FALSE),60)</f>
        <v>60</v>
      </c>
      <c r="P387">
        <f>_xlfn.IFNA(VLOOKUP($A387,PredictionTable,MATCH(P$1,Analysts,0),FALSE),60)</f>
        <v>60</v>
      </c>
      <c r="V387" s="7" t="s">
        <v>589</v>
      </c>
    </row>
    <row r="388" spans="1:22" x14ac:dyDescent="0.45">
      <c r="A388" s="1" t="s">
        <v>394</v>
      </c>
      <c r="B388" s="1" t="s">
        <v>343</v>
      </c>
      <c r="C388" s="1">
        <f>INDEX(T_Performances,MATCH($A388,T_Names,0))</f>
        <v>5</v>
      </c>
      <c r="D388">
        <v>119</v>
      </c>
      <c r="E388" s="1">
        <f>INDEX(T_Avg_PPG,MATCH($A388,T_Names,0))</f>
        <v>7.9333333333333336</v>
      </c>
      <c r="F388">
        <f>1+COUNTIFS(T_Total,"&gt;"&amp;D388,T_Pos,$B388)</f>
        <v>48</v>
      </c>
      <c r="G388">
        <f>1+COUNTIFS(T_Avg_PPG,"&gt;"&amp;E388,T_Pos,$B388)</f>
        <v>73</v>
      </c>
      <c r="H388">
        <f>_xlfn.IFNA(VLOOKUP($A388,PredictionTable,MATCH(H$1,Analysts,0),FALSE),60)</f>
        <v>40</v>
      </c>
      <c r="I388">
        <f>_xlfn.IFNA(VLOOKUP($A388,PredictionTable,MATCH(I$1,Analysts,0),FALSE),60)</f>
        <v>51</v>
      </c>
      <c r="J388">
        <f>_xlfn.IFNA(VLOOKUP($A388,PredictionTable,MATCH(J$1,Analysts,0),FALSE),60)</f>
        <v>42</v>
      </c>
      <c r="K388">
        <f>_xlfn.IFNA(VLOOKUP($A388,PredictionTable,MATCH(K$1,Analysts,0),FALSE),60)</f>
        <v>38</v>
      </c>
      <c r="L388">
        <f>_xlfn.IFNA(VLOOKUP($A388,PredictionTable,MATCH(L$1,Analysts,0),FALSE),60)</f>
        <v>48</v>
      </c>
      <c r="M388">
        <f>_xlfn.IFNA(VLOOKUP($A388,PredictionTable,MATCH(M$1,Analysts,0),FALSE),60)</f>
        <v>37</v>
      </c>
      <c r="N388">
        <f>_xlfn.IFNA(VLOOKUP($A388,PredictionTable,MATCH(N$1,Analysts,0),FALSE),60)</f>
        <v>36</v>
      </c>
      <c r="O388">
        <f>_xlfn.IFNA(VLOOKUP($A388,PredictionTable,MATCH(O$1,Analysts,0),FALSE),60)</f>
        <v>36</v>
      </c>
      <c r="P388">
        <f>_xlfn.IFNA(VLOOKUP($A388,PredictionTable,MATCH(P$1,Analysts,0),FALSE),60)</f>
        <v>41</v>
      </c>
      <c r="V388" s="7" t="s">
        <v>589</v>
      </c>
    </row>
    <row r="389" spans="1:22" x14ac:dyDescent="0.45">
      <c r="A389" s="1" t="s">
        <v>395</v>
      </c>
      <c r="B389" s="1" t="s">
        <v>343</v>
      </c>
      <c r="C389" s="1">
        <f>INDEX(T_Performances,MATCH($A389,T_Names,0))</f>
        <v>3</v>
      </c>
      <c r="D389">
        <v>117.9</v>
      </c>
      <c r="E389" s="1">
        <f>INDEX(T_Avg_PPG,MATCH($A389,T_Names,0))</f>
        <v>6.9352941176470591</v>
      </c>
      <c r="F389">
        <f>1+COUNTIFS(T_Total,"&gt;"&amp;D389,T_Pos,$B389)</f>
        <v>49</v>
      </c>
      <c r="G389">
        <f>1+COUNTIFS(T_Avg_PPG,"&gt;"&amp;E389,T_Pos,$B389)</f>
        <v>85</v>
      </c>
      <c r="H389">
        <f>_xlfn.IFNA(VLOOKUP($A389,PredictionTable,MATCH(H$1,Analysts,0),FALSE),60)</f>
        <v>47</v>
      </c>
      <c r="I389">
        <f>_xlfn.IFNA(VLOOKUP($A389,PredictionTable,MATCH(I$1,Analysts,0),FALSE),60)</f>
        <v>43</v>
      </c>
      <c r="J389">
        <f>_xlfn.IFNA(VLOOKUP($A389,PredictionTable,MATCH(J$1,Analysts,0),FALSE),60)</f>
        <v>40</v>
      </c>
      <c r="K389">
        <f>_xlfn.IFNA(VLOOKUP($A389,PredictionTable,MATCH(K$1,Analysts,0),FALSE),60)</f>
        <v>44</v>
      </c>
      <c r="L389">
        <f>_xlfn.IFNA(VLOOKUP($A389,PredictionTable,MATCH(L$1,Analysts,0),FALSE),60)</f>
        <v>43</v>
      </c>
      <c r="M389">
        <f>_xlfn.IFNA(VLOOKUP($A389,PredictionTable,MATCH(M$1,Analysts,0),FALSE),60)</f>
        <v>46</v>
      </c>
      <c r="N389">
        <f>_xlfn.IFNA(VLOOKUP($A389,PredictionTable,MATCH(N$1,Analysts,0),FALSE),60)</f>
        <v>43</v>
      </c>
      <c r="O389">
        <f>_xlfn.IFNA(VLOOKUP($A389,PredictionTable,MATCH(O$1,Analysts,0),FALSE),60)</f>
        <v>47</v>
      </c>
      <c r="P389">
        <f>_xlfn.IFNA(VLOOKUP($A389,PredictionTable,MATCH(P$1,Analysts,0),FALSE),60)</f>
        <v>44.1</v>
      </c>
      <c r="V389" s="7" t="s">
        <v>589</v>
      </c>
    </row>
    <row r="390" spans="1:22" x14ac:dyDescent="0.45">
      <c r="A390" s="1" t="s">
        <v>396</v>
      </c>
      <c r="B390" s="1" t="s">
        <v>343</v>
      </c>
      <c r="C390" s="1">
        <f>INDEX(T_Performances,MATCH($A390,T_Names,0))</f>
        <v>5</v>
      </c>
      <c r="D390">
        <v>115.5</v>
      </c>
      <c r="E390" s="1">
        <f>INDEX(T_Avg_PPG,MATCH($A390,T_Names,0))</f>
        <v>11.55</v>
      </c>
      <c r="F390">
        <f>1+COUNTIFS(T_Total,"&gt;"&amp;D390,T_Pos,$B390)</f>
        <v>51</v>
      </c>
      <c r="G390">
        <f>1+COUNTIFS(T_Avg_PPG,"&gt;"&amp;E390,T_Pos,$B390)</f>
        <v>30</v>
      </c>
      <c r="H390">
        <f>_xlfn.IFNA(VLOOKUP($A390,PredictionTable,MATCH(H$1,Analysts,0),FALSE),60)</f>
        <v>57</v>
      </c>
      <c r="I390">
        <f>_xlfn.IFNA(VLOOKUP($A390,PredictionTable,MATCH(I$1,Analysts,0),FALSE),60)</f>
        <v>55</v>
      </c>
      <c r="J390">
        <f>_xlfn.IFNA(VLOOKUP($A390,PredictionTable,MATCH(J$1,Analysts,0),FALSE),60)</f>
        <v>56</v>
      </c>
      <c r="K390" t="str">
        <f>_xlfn.IFNA(VLOOKUP($A390,PredictionTable,MATCH(K$1,Analysts,0),FALSE),60)</f>
        <v>NR</v>
      </c>
      <c r="L390">
        <f>_xlfn.IFNA(VLOOKUP($A390,PredictionTable,MATCH(L$1,Analysts,0),FALSE),60)</f>
        <v>54</v>
      </c>
      <c r="M390">
        <f>_xlfn.IFNA(VLOOKUP($A390,PredictionTable,MATCH(M$1,Analysts,0),FALSE),60)</f>
        <v>53</v>
      </c>
      <c r="N390">
        <f>_xlfn.IFNA(VLOOKUP($A390,PredictionTable,MATCH(N$1,Analysts,0),FALSE),60)</f>
        <v>56</v>
      </c>
      <c r="O390">
        <f>_xlfn.IFNA(VLOOKUP($A390,PredictionTable,MATCH(O$1,Analysts,0),FALSE),60)</f>
        <v>50</v>
      </c>
      <c r="P390">
        <f>_xlfn.IFNA(VLOOKUP($A390,PredictionTable,MATCH(P$1,Analysts,0),FALSE),60)</f>
        <v>55.3</v>
      </c>
      <c r="V390" s="7" t="s">
        <v>589</v>
      </c>
    </row>
    <row r="391" spans="1:22" x14ac:dyDescent="0.45">
      <c r="A391" s="1" t="s">
        <v>397</v>
      </c>
      <c r="B391" s="1" t="s">
        <v>343</v>
      </c>
      <c r="C391" s="1">
        <f>INDEX(T_Performances,MATCH($A391,T_Names,0))</f>
        <v>4</v>
      </c>
      <c r="D391">
        <v>109.1</v>
      </c>
      <c r="E391" s="1">
        <f>INDEX(T_Avg_PPG,MATCH($A391,T_Names,0))</f>
        <v>8.3923076923076927</v>
      </c>
      <c r="F391">
        <f>1+COUNTIFS(T_Total,"&gt;"&amp;D391,T_Pos,$B391)</f>
        <v>57</v>
      </c>
      <c r="G391">
        <f>1+COUNTIFS(T_Avg_PPG,"&gt;"&amp;E391,T_Pos,$B391)</f>
        <v>63</v>
      </c>
      <c r="H391">
        <f>_xlfn.IFNA(VLOOKUP($A391,PredictionTable,MATCH(H$1,Analysts,0),FALSE),60)</f>
        <v>60</v>
      </c>
      <c r="I391">
        <f>_xlfn.IFNA(VLOOKUP($A391,PredictionTable,MATCH(I$1,Analysts,0),FALSE),60)</f>
        <v>60</v>
      </c>
      <c r="J391">
        <f>_xlfn.IFNA(VLOOKUP($A391,PredictionTable,MATCH(J$1,Analysts,0),FALSE),60)</f>
        <v>60</v>
      </c>
      <c r="K391">
        <f>_xlfn.IFNA(VLOOKUP($A391,PredictionTable,MATCH(K$1,Analysts,0),FALSE),60)</f>
        <v>60</v>
      </c>
      <c r="L391">
        <f>_xlfn.IFNA(VLOOKUP($A391,PredictionTable,MATCH(L$1,Analysts,0),FALSE),60)</f>
        <v>60</v>
      </c>
      <c r="M391">
        <f>_xlfn.IFNA(VLOOKUP($A391,PredictionTable,MATCH(M$1,Analysts,0),FALSE),60)</f>
        <v>60</v>
      </c>
      <c r="N391">
        <f>_xlfn.IFNA(VLOOKUP($A391,PredictionTable,MATCH(N$1,Analysts,0),FALSE),60)</f>
        <v>60</v>
      </c>
      <c r="O391">
        <f>_xlfn.IFNA(VLOOKUP($A391,PredictionTable,MATCH(O$1,Analysts,0),FALSE),60)</f>
        <v>60</v>
      </c>
      <c r="P391">
        <f>_xlfn.IFNA(VLOOKUP($A391,PredictionTable,MATCH(P$1,Analysts,0),FALSE),60)</f>
        <v>60</v>
      </c>
      <c r="V391" s="7" t="s">
        <v>589</v>
      </c>
    </row>
    <row r="392" spans="1:22" x14ac:dyDescent="0.45">
      <c r="A392" s="1" t="s">
        <v>398</v>
      </c>
      <c r="B392" s="1" t="s">
        <v>343</v>
      </c>
      <c r="C392" s="1">
        <f>INDEX(T_Performances,MATCH($A392,T_Names,0))</f>
        <v>4</v>
      </c>
      <c r="D392">
        <v>108</v>
      </c>
      <c r="E392" s="1">
        <f>INDEX(T_Avg_PPG,MATCH($A392,T_Names,0))</f>
        <v>8.3076923076923084</v>
      </c>
      <c r="F392">
        <f>1+COUNTIFS(T_Total,"&gt;"&amp;D392,T_Pos,$B392)</f>
        <v>58</v>
      </c>
      <c r="G392">
        <f>1+COUNTIFS(T_Avg_PPG,"&gt;"&amp;E392,T_Pos,$B392)</f>
        <v>65</v>
      </c>
      <c r="H392">
        <f>_xlfn.IFNA(VLOOKUP($A392,PredictionTable,MATCH(H$1,Analysts,0),FALSE),60)</f>
        <v>60</v>
      </c>
      <c r="I392">
        <f>_xlfn.IFNA(VLOOKUP($A392,PredictionTable,MATCH(I$1,Analysts,0),FALSE),60)</f>
        <v>60</v>
      </c>
      <c r="J392">
        <f>_xlfn.IFNA(VLOOKUP($A392,PredictionTable,MATCH(J$1,Analysts,0),FALSE),60)</f>
        <v>60</v>
      </c>
      <c r="K392">
        <f>_xlfn.IFNA(VLOOKUP($A392,PredictionTable,MATCH(K$1,Analysts,0),FALSE),60)</f>
        <v>60</v>
      </c>
      <c r="L392">
        <f>_xlfn.IFNA(VLOOKUP($A392,PredictionTable,MATCH(L$1,Analysts,0),FALSE),60)</f>
        <v>60</v>
      </c>
      <c r="M392">
        <f>_xlfn.IFNA(VLOOKUP($A392,PredictionTable,MATCH(M$1,Analysts,0),FALSE),60)</f>
        <v>60</v>
      </c>
      <c r="N392">
        <f>_xlfn.IFNA(VLOOKUP($A392,PredictionTable,MATCH(N$1,Analysts,0),FALSE),60)</f>
        <v>60</v>
      </c>
      <c r="O392">
        <f>_xlfn.IFNA(VLOOKUP($A392,PredictionTable,MATCH(O$1,Analysts,0),FALSE),60)</f>
        <v>60</v>
      </c>
      <c r="P392">
        <f>_xlfn.IFNA(VLOOKUP($A392,PredictionTable,MATCH(P$1,Analysts,0),FALSE),60)</f>
        <v>60</v>
      </c>
      <c r="V392" s="7" t="s">
        <v>589</v>
      </c>
    </row>
    <row r="393" spans="1:22" x14ac:dyDescent="0.45">
      <c r="A393" s="1" t="s">
        <v>399</v>
      </c>
      <c r="B393" s="1" t="s">
        <v>343</v>
      </c>
      <c r="C393" s="1">
        <f>INDEX(T_Performances,MATCH($A393,T_Names,0))</f>
        <v>5</v>
      </c>
      <c r="D393">
        <v>107.5</v>
      </c>
      <c r="E393" s="1">
        <f>INDEX(T_Avg_PPG,MATCH($A393,T_Names,0))</f>
        <v>9.7727272727272734</v>
      </c>
      <c r="F393">
        <f>1+COUNTIFS(T_Total,"&gt;"&amp;D393,T_Pos,$B393)</f>
        <v>59</v>
      </c>
      <c r="G393">
        <f>1+COUNTIFS(T_Avg_PPG,"&gt;"&amp;E393,T_Pos,$B393)</f>
        <v>49</v>
      </c>
      <c r="H393">
        <f>_xlfn.IFNA(VLOOKUP($A393,PredictionTable,MATCH(H$1,Analysts,0),FALSE),60)</f>
        <v>60</v>
      </c>
      <c r="I393">
        <f>_xlfn.IFNA(VLOOKUP($A393,PredictionTable,MATCH(I$1,Analysts,0),FALSE),60)</f>
        <v>60</v>
      </c>
      <c r="J393">
        <f>_xlfn.IFNA(VLOOKUP($A393,PredictionTable,MATCH(J$1,Analysts,0),FALSE),60)</f>
        <v>60</v>
      </c>
      <c r="K393">
        <f>_xlfn.IFNA(VLOOKUP($A393,PredictionTable,MATCH(K$1,Analysts,0),FALSE),60)</f>
        <v>60</v>
      </c>
      <c r="L393">
        <f>_xlfn.IFNA(VLOOKUP($A393,PredictionTable,MATCH(L$1,Analysts,0),FALSE),60)</f>
        <v>60</v>
      </c>
      <c r="M393">
        <f>_xlfn.IFNA(VLOOKUP($A393,PredictionTable,MATCH(M$1,Analysts,0),FALSE),60)</f>
        <v>60</v>
      </c>
      <c r="N393">
        <f>_xlfn.IFNA(VLOOKUP($A393,PredictionTable,MATCH(N$1,Analysts,0),FALSE),60)</f>
        <v>60</v>
      </c>
      <c r="O393">
        <f>_xlfn.IFNA(VLOOKUP($A393,PredictionTable,MATCH(O$1,Analysts,0),FALSE),60)</f>
        <v>60</v>
      </c>
      <c r="P393">
        <f>_xlfn.IFNA(VLOOKUP($A393,PredictionTable,MATCH(P$1,Analysts,0),FALSE),60)</f>
        <v>60</v>
      </c>
      <c r="V393" s="7" t="s">
        <v>589</v>
      </c>
    </row>
    <row r="394" spans="1:22" x14ac:dyDescent="0.45">
      <c r="A394" s="1" t="s">
        <v>400</v>
      </c>
      <c r="B394" s="1" t="s">
        <v>343</v>
      </c>
      <c r="C394" s="1">
        <f>INDEX(T_Performances,MATCH($A394,T_Names,0))</f>
        <v>3</v>
      </c>
      <c r="D394">
        <v>100.4</v>
      </c>
      <c r="E394" s="1">
        <f>INDEX(T_Avg_PPG,MATCH($A394,T_Names,0))</f>
        <v>7.1714285714285717</v>
      </c>
      <c r="F394">
        <f>1+COUNTIFS(T_Total,"&gt;"&amp;D394,T_Pos,$B394)</f>
        <v>65</v>
      </c>
      <c r="G394">
        <f>1+COUNTIFS(T_Avg_PPG,"&gt;"&amp;E394,T_Pos,$B394)</f>
        <v>79</v>
      </c>
      <c r="H394">
        <f>_xlfn.IFNA(VLOOKUP($A394,PredictionTable,MATCH(H$1,Analysts,0),FALSE),60)</f>
        <v>60</v>
      </c>
      <c r="I394">
        <f>_xlfn.IFNA(VLOOKUP($A394,PredictionTable,MATCH(I$1,Analysts,0),FALSE),60)</f>
        <v>60</v>
      </c>
      <c r="J394">
        <f>_xlfn.IFNA(VLOOKUP($A394,PredictionTable,MATCH(J$1,Analysts,0),FALSE),60)</f>
        <v>60</v>
      </c>
      <c r="K394">
        <f>_xlfn.IFNA(VLOOKUP($A394,PredictionTable,MATCH(K$1,Analysts,0),FALSE),60)</f>
        <v>60</v>
      </c>
      <c r="L394">
        <f>_xlfn.IFNA(VLOOKUP($A394,PredictionTable,MATCH(L$1,Analysts,0),FALSE),60)</f>
        <v>60</v>
      </c>
      <c r="M394">
        <f>_xlfn.IFNA(VLOOKUP($A394,PredictionTable,MATCH(M$1,Analysts,0),FALSE),60)</f>
        <v>60</v>
      </c>
      <c r="N394">
        <f>_xlfn.IFNA(VLOOKUP($A394,PredictionTable,MATCH(N$1,Analysts,0),FALSE),60)</f>
        <v>60</v>
      </c>
      <c r="O394">
        <f>_xlfn.IFNA(VLOOKUP($A394,PredictionTable,MATCH(O$1,Analysts,0),FALSE),60)</f>
        <v>60</v>
      </c>
      <c r="P394">
        <f>_xlfn.IFNA(VLOOKUP($A394,PredictionTable,MATCH(P$1,Analysts,0),FALSE),60)</f>
        <v>60</v>
      </c>
      <c r="V394" s="7" t="s">
        <v>589</v>
      </c>
    </row>
    <row r="395" spans="1:22" x14ac:dyDescent="0.45">
      <c r="A395" s="1" t="s">
        <v>401</v>
      </c>
      <c r="B395" s="1" t="s">
        <v>343</v>
      </c>
      <c r="C395" s="1">
        <f>INDEX(T_Performances,MATCH($A395,T_Names,0))</f>
        <v>3</v>
      </c>
      <c r="D395">
        <v>94.8</v>
      </c>
      <c r="E395" s="1">
        <f>INDEX(T_Avg_PPG,MATCH($A395,T_Names,0))</f>
        <v>6.7714285714285714</v>
      </c>
      <c r="F395">
        <f>1+COUNTIFS(T_Total,"&gt;"&amp;D395,T_Pos,$B395)</f>
        <v>69</v>
      </c>
      <c r="G395">
        <f>1+COUNTIFS(T_Avg_PPG,"&gt;"&amp;E395,T_Pos,$B395)</f>
        <v>89</v>
      </c>
      <c r="H395">
        <f>_xlfn.IFNA(VLOOKUP($A395,PredictionTable,MATCH(H$1,Analysts,0),FALSE),60)</f>
        <v>60</v>
      </c>
      <c r="I395">
        <f>_xlfn.IFNA(VLOOKUP($A395,PredictionTable,MATCH(I$1,Analysts,0),FALSE),60)</f>
        <v>60</v>
      </c>
      <c r="J395">
        <f>_xlfn.IFNA(VLOOKUP($A395,PredictionTable,MATCH(J$1,Analysts,0),FALSE),60)</f>
        <v>60</v>
      </c>
      <c r="K395">
        <f>_xlfn.IFNA(VLOOKUP($A395,PredictionTable,MATCH(K$1,Analysts,0),FALSE),60)</f>
        <v>60</v>
      </c>
      <c r="L395">
        <f>_xlfn.IFNA(VLOOKUP($A395,PredictionTable,MATCH(L$1,Analysts,0),FALSE),60)</f>
        <v>60</v>
      </c>
      <c r="M395">
        <f>_xlfn.IFNA(VLOOKUP($A395,PredictionTable,MATCH(M$1,Analysts,0),FALSE),60)</f>
        <v>60</v>
      </c>
      <c r="N395">
        <f>_xlfn.IFNA(VLOOKUP($A395,PredictionTable,MATCH(N$1,Analysts,0),FALSE),60)</f>
        <v>60</v>
      </c>
      <c r="O395">
        <f>_xlfn.IFNA(VLOOKUP($A395,PredictionTable,MATCH(O$1,Analysts,0),FALSE),60)</f>
        <v>60</v>
      </c>
      <c r="P395">
        <f>_xlfn.IFNA(VLOOKUP($A395,PredictionTable,MATCH(P$1,Analysts,0),FALSE),60)</f>
        <v>60</v>
      </c>
      <c r="V395" s="7" t="s">
        <v>589</v>
      </c>
    </row>
    <row r="396" spans="1:22" x14ac:dyDescent="0.45">
      <c r="A396" s="1" t="s">
        <v>402</v>
      </c>
      <c r="B396" s="1" t="s">
        <v>343</v>
      </c>
      <c r="C396" s="1">
        <f>INDEX(T_Performances,MATCH($A396,T_Names,0))</f>
        <v>3</v>
      </c>
      <c r="D396">
        <v>90.4</v>
      </c>
      <c r="E396" s="1">
        <f>INDEX(T_Avg_PPG,MATCH($A396,T_Names,0))</f>
        <v>6.4571428571428573</v>
      </c>
      <c r="F396">
        <f>1+COUNTIFS(T_Total,"&gt;"&amp;D396,T_Pos,$B396)</f>
        <v>73</v>
      </c>
      <c r="G396">
        <f>1+COUNTIFS(T_Avg_PPG,"&gt;"&amp;E396,T_Pos,$B396)</f>
        <v>94</v>
      </c>
      <c r="H396">
        <f>_xlfn.IFNA(VLOOKUP($A396,PredictionTable,MATCH(H$1,Analysts,0),FALSE),60)</f>
        <v>60</v>
      </c>
      <c r="I396">
        <f>_xlfn.IFNA(VLOOKUP($A396,PredictionTable,MATCH(I$1,Analysts,0),FALSE),60)</f>
        <v>60</v>
      </c>
      <c r="J396">
        <f>_xlfn.IFNA(VLOOKUP($A396,PredictionTable,MATCH(J$1,Analysts,0),FALSE),60)</f>
        <v>60</v>
      </c>
      <c r="K396">
        <f>_xlfn.IFNA(VLOOKUP($A396,PredictionTable,MATCH(K$1,Analysts,0),FALSE),60)</f>
        <v>60</v>
      </c>
      <c r="L396">
        <f>_xlfn.IFNA(VLOOKUP($A396,PredictionTable,MATCH(L$1,Analysts,0),FALSE),60)</f>
        <v>60</v>
      </c>
      <c r="M396">
        <f>_xlfn.IFNA(VLOOKUP($A396,PredictionTable,MATCH(M$1,Analysts,0),FALSE),60)</f>
        <v>60</v>
      </c>
      <c r="N396">
        <f>_xlfn.IFNA(VLOOKUP($A396,PredictionTable,MATCH(N$1,Analysts,0),FALSE),60)</f>
        <v>60</v>
      </c>
      <c r="O396">
        <f>_xlfn.IFNA(VLOOKUP($A396,PredictionTable,MATCH(O$1,Analysts,0),FALSE),60)</f>
        <v>60</v>
      </c>
      <c r="P396">
        <f>_xlfn.IFNA(VLOOKUP($A396,PredictionTable,MATCH(P$1,Analysts,0),FALSE),60)</f>
        <v>60</v>
      </c>
      <c r="V396" s="7" t="s">
        <v>589</v>
      </c>
    </row>
    <row r="397" spans="1:22" x14ac:dyDescent="0.45">
      <c r="A397" s="1" t="s">
        <v>403</v>
      </c>
      <c r="B397" s="1" t="s">
        <v>343</v>
      </c>
      <c r="C397" s="1">
        <f>INDEX(T_Performances,MATCH($A397,T_Names,0))</f>
        <v>3</v>
      </c>
      <c r="D397">
        <v>89.9</v>
      </c>
      <c r="E397" s="1">
        <f>INDEX(T_Avg_PPG,MATCH($A397,T_Names,0))</f>
        <v>6.4214285714285717</v>
      </c>
      <c r="F397">
        <f>1+COUNTIFS(T_Total,"&gt;"&amp;D397,T_Pos,$B397)</f>
        <v>74</v>
      </c>
      <c r="G397">
        <f>1+COUNTIFS(T_Avg_PPG,"&gt;"&amp;E397,T_Pos,$B397)</f>
        <v>96</v>
      </c>
      <c r="H397">
        <f>_xlfn.IFNA(VLOOKUP($A397,PredictionTable,MATCH(H$1,Analysts,0),FALSE),60)</f>
        <v>60</v>
      </c>
      <c r="I397">
        <f>_xlfn.IFNA(VLOOKUP($A397,PredictionTable,MATCH(I$1,Analysts,0),FALSE),60)</f>
        <v>60</v>
      </c>
      <c r="J397">
        <f>_xlfn.IFNA(VLOOKUP($A397,PredictionTable,MATCH(J$1,Analysts,0),FALSE),60)</f>
        <v>60</v>
      </c>
      <c r="K397">
        <f>_xlfn.IFNA(VLOOKUP($A397,PredictionTable,MATCH(K$1,Analysts,0),FALSE),60)</f>
        <v>60</v>
      </c>
      <c r="L397">
        <f>_xlfn.IFNA(VLOOKUP($A397,PredictionTable,MATCH(L$1,Analysts,0),FALSE),60)</f>
        <v>60</v>
      </c>
      <c r="M397">
        <f>_xlfn.IFNA(VLOOKUP($A397,PredictionTable,MATCH(M$1,Analysts,0),FALSE),60)</f>
        <v>60</v>
      </c>
      <c r="N397">
        <f>_xlfn.IFNA(VLOOKUP($A397,PredictionTable,MATCH(N$1,Analysts,0),FALSE),60)</f>
        <v>60</v>
      </c>
      <c r="O397">
        <f>_xlfn.IFNA(VLOOKUP($A397,PredictionTable,MATCH(O$1,Analysts,0),FALSE),60)</f>
        <v>60</v>
      </c>
      <c r="P397">
        <f>_xlfn.IFNA(VLOOKUP($A397,PredictionTable,MATCH(P$1,Analysts,0),FALSE),60)</f>
        <v>60</v>
      </c>
      <c r="V397" s="7" t="s">
        <v>589</v>
      </c>
    </row>
    <row r="398" spans="1:22" x14ac:dyDescent="0.45">
      <c r="A398" s="1" t="s">
        <v>404</v>
      </c>
      <c r="B398" s="1" t="s">
        <v>343</v>
      </c>
      <c r="C398" s="1">
        <f>INDEX(T_Performances,MATCH($A398,T_Names,0))</f>
        <v>3</v>
      </c>
      <c r="D398">
        <v>76.56</v>
      </c>
      <c r="E398" s="1">
        <f>INDEX(T_Avg_PPG,MATCH($A398,T_Names,0))</f>
        <v>7.6560000000000006</v>
      </c>
      <c r="F398">
        <f>1+COUNTIFS(T_Total,"&gt;"&amp;D398,T_Pos,$B398)</f>
        <v>82</v>
      </c>
      <c r="G398">
        <f>1+COUNTIFS(T_Avg_PPG,"&gt;"&amp;E398,T_Pos,$B398)</f>
        <v>74</v>
      </c>
      <c r="H398">
        <f>_xlfn.IFNA(VLOOKUP($A398,PredictionTable,MATCH(H$1,Analysts,0),FALSE),60)</f>
        <v>60</v>
      </c>
      <c r="I398">
        <f>_xlfn.IFNA(VLOOKUP($A398,PredictionTable,MATCH(I$1,Analysts,0),FALSE),60)</f>
        <v>60</v>
      </c>
      <c r="J398">
        <f>_xlfn.IFNA(VLOOKUP($A398,PredictionTable,MATCH(J$1,Analysts,0),FALSE),60)</f>
        <v>60</v>
      </c>
      <c r="K398">
        <f>_xlfn.IFNA(VLOOKUP($A398,PredictionTable,MATCH(K$1,Analysts,0),FALSE),60)</f>
        <v>60</v>
      </c>
      <c r="L398">
        <f>_xlfn.IFNA(VLOOKUP($A398,PredictionTable,MATCH(L$1,Analysts,0),FALSE),60)</f>
        <v>60</v>
      </c>
      <c r="M398">
        <f>_xlfn.IFNA(VLOOKUP($A398,PredictionTable,MATCH(M$1,Analysts,0),FALSE),60)</f>
        <v>60</v>
      </c>
      <c r="N398">
        <f>_xlfn.IFNA(VLOOKUP($A398,PredictionTable,MATCH(N$1,Analysts,0),FALSE),60)</f>
        <v>60</v>
      </c>
      <c r="O398">
        <f>_xlfn.IFNA(VLOOKUP($A398,PredictionTable,MATCH(O$1,Analysts,0),FALSE),60)</f>
        <v>60</v>
      </c>
      <c r="P398">
        <f>_xlfn.IFNA(VLOOKUP($A398,PredictionTable,MATCH(P$1,Analysts,0),FALSE),60)</f>
        <v>60</v>
      </c>
      <c r="V398" s="7" t="s">
        <v>589</v>
      </c>
    </row>
    <row r="399" spans="1:22" x14ac:dyDescent="0.45">
      <c r="A399" s="1" t="s">
        <v>405</v>
      </c>
      <c r="B399" s="1" t="s">
        <v>343</v>
      </c>
      <c r="C399" s="1">
        <f>INDEX(T_Performances,MATCH($A399,T_Names,0))</f>
        <v>3</v>
      </c>
      <c r="D399">
        <v>75</v>
      </c>
      <c r="E399" s="1">
        <f>INDEX(T_Avg_PPG,MATCH($A399,T_Names,0))</f>
        <v>9.375</v>
      </c>
      <c r="F399">
        <f>1+COUNTIFS(T_Total,"&gt;"&amp;D399,T_Pos,$B399)</f>
        <v>84</v>
      </c>
      <c r="G399">
        <f>1+COUNTIFS(T_Avg_PPG,"&gt;"&amp;E399,T_Pos,$B399)</f>
        <v>53</v>
      </c>
      <c r="H399">
        <f>_xlfn.IFNA(VLOOKUP($A399,PredictionTable,MATCH(H$1,Analysts,0),FALSE),60)</f>
        <v>60</v>
      </c>
      <c r="I399">
        <f>_xlfn.IFNA(VLOOKUP($A399,PredictionTable,MATCH(I$1,Analysts,0),FALSE),60)</f>
        <v>60</v>
      </c>
      <c r="J399">
        <f>_xlfn.IFNA(VLOOKUP($A399,PredictionTable,MATCH(J$1,Analysts,0),FALSE),60)</f>
        <v>60</v>
      </c>
      <c r="K399">
        <f>_xlfn.IFNA(VLOOKUP($A399,PredictionTable,MATCH(K$1,Analysts,0),FALSE),60)</f>
        <v>60</v>
      </c>
      <c r="L399">
        <f>_xlfn.IFNA(VLOOKUP($A399,PredictionTable,MATCH(L$1,Analysts,0),FALSE),60)</f>
        <v>60</v>
      </c>
      <c r="M399">
        <f>_xlfn.IFNA(VLOOKUP($A399,PredictionTable,MATCH(M$1,Analysts,0),FALSE),60)</f>
        <v>60</v>
      </c>
      <c r="N399">
        <f>_xlfn.IFNA(VLOOKUP($A399,PredictionTable,MATCH(N$1,Analysts,0),FALSE),60)</f>
        <v>60</v>
      </c>
      <c r="O399">
        <f>_xlfn.IFNA(VLOOKUP($A399,PredictionTable,MATCH(O$1,Analysts,0),FALSE),60)</f>
        <v>60</v>
      </c>
      <c r="P399">
        <f>_xlfn.IFNA(VLOOKUP($A399,PredictionTable,MATCH(P$1,Analysts,0),FALSE),60)</f>
        <v>60</v>
      </c>
      <c r="V399" s="7" t="s">
        <v>589</v>
      </c>
    </row>
    <row r="400" spans="1:22" x14ac:dyDescent="0.45">
      <c r="A400" s="1" t="s">
        <v>406</v>
      </c>
      <c r="B400" s="1" t="s">
        <v>343</v>
      </c>
      <c r="C400" s="1">
        <f>INDEX(T_Performances,MATCH($A400,T_Names,0))</f>
        <v>3</v>
      </c>
      <c r="D400">
        <v>65.900000000000006</v>
      </c>
      <c r="E400" s="1">
        <f>INDEX(T_Avg_PPG,MATCH($A400,T_Names,0))</f>
        <v>13.180000000000001</v>
      </c>
      <c r="F400">
        <f>1+COUNTIFS(T_Total,"&gt;"&amp;D400,T_Pos,$B400)</f>
        <v>90</v>
      </c>
      <c r="G400">
        <f>1+COUNTIFS(T_Avg_PPG,"&gt;"&amp;E400,T_Pos,$B400)</f>
        <v>20</v>
      </c>
      <c r="H400">
        <f>_xlfn.IFNA(VLOOKUP($A400,PredictionTable,MATCH(H$1,Analysts,0),FALSE),60)</f>
        <v>60</v>
      </c>
      <c r="I400">
        <f>_xlfn.IFNA(VLOOKUP($A400,PredictionTable,MATCH(I$1,Analysts,0),FALSE),60)</f>
        <v>60</v>
      </c>
      <c r="J400">
        <f>_xlfn.IFNA(VLOOKUP($A400,PredictionTable,MATCH(J$1,Analysts,0),FALSE),60)</f>
        <v>60</v>
      </c>
      <c r="K400">
        <f>_xlfn.IFNA(VLOOKUP($A400,PredictionTable,MATCH(K$1,Analysts,0),FALSE),60)</f>
        <v>60</v>
      </c>
      <c r="L400">
        <f>_xlfn.IFNA(VLOOKUP($A400,PredictionTable,MATCH(L$1,Analysts,0),FALSE),60)</f>
        <v>60</v>
      </c>
      <c r="M400">
        <f>_xlfn.IFNA(VLOOKUP($A400,PredictionTable,MATCH(M$1,Analysts,0),FALSE),60)</f>
        <v>60</v>
      </c>
      <c r="N400">
        <f>_xlfn.IFNA(VLOOKUP($A400,PredictionTable,MATCH(N$1,Analysts,0),FALSE),60)</f>
        <v>60</v>
      </c>
      <c r="O400">
        <f>_xlfn.IFNA(VLOOKUP($A400,PredictionTable,MATCH(O$1,Analysts,0),FALSE),60)</f>
        <v>60</v>
      </c>
      <c r="P400">
        <f>_xlfn.IFNA(VLOOKUP($A400,PredictionTable,MATCH(P$1,Analysts,0),FALSE),60)</f>
        <v>60</v>
      </c>
      <c r="V400" s="7" t="s">
        <v>589</v>
      </c>
    </row>
    <row r="401" spans="1:22" x14ac:dyDescent="0.45">
      <c r="A401" s="1" t="s">
        <v>407</v>
      </c>
      <c r="B401" s="1" t="s">
        <v>343</v>
      </c>
      <c r="C401" s="1">
        <f>INDEX(T_Performances,MATCH($A401,T_Names,0))</f>
        <v>4</v>
      </c>
      <c r="D401">
        <v>63.8</v>
      </c>
      <c r="E401" s="1">
        <f>INDEX(T_Avg_PPG,MATCH($A401,T_Names,0))</f>
        <v>12.76</v>
      </c>
      <c r="F401">
        <f>1+COUNTIFS(T_Total,"&gt;"&amp;D401,T_Pos,$B401)</f>
        <v>92</v>
      </c>
      <c r="G401">
        <f>1+COUNTIFS(T_Avg_PPG,"&gt;"&amp;E401,T_Pos,$B401)</f>
        <v>23</v>
      </c>
      <c r="H401">
        <f>_xlfn.IFNA(VLOOKUP($A401,PredictionTable,MATCH(H$1,Analysts,0),FALSE),60)</f>
        <v>59</v>
      </c>
      <c r="I401">
        <f>_xlfn.IFNA(VLOOKUP($A401,PredictionTable,MATCH(I$1,Analysts,0),FALSE),60)</f>
        <v>58</v>
      </c>
      <c r="J401">
        <f>_xlfn.IFNA(VLOOKUP($A401,PredictionTable,MATCH(J$1,Analysts,0),FALSE),60)</f>
        <v>57</v>
      </c>
      <c r="K401">
        <f>_xlfn.IFNA(VLOOKUP($A401,PredictionTable,MATCH(K$1,Analysts,0),FALSE),60)</f>
        <v>59</v>
      </c>
      <c r="L401">
        <f>_xlfn.IFNA(VLOOKUP($A401,PredictionTable,MATCH(L$1,Analysts,0),FALSE),60)</f>
        <v>57</v>
      </c>
      <c r="M401">
        <f>_xlfn.IFNA(VLOOKUP($A401,PredictionTable,MATCH(M$1,Analysts,0),FALSE),60)</f>
        <v>58</v>
      </c>
      <c r="N401" t="str">
        <f>_xlfn.IFNA(VLOOKUP($A401,PredictionTable,MATCH(N$1,Analysts,0),FALSE),60)</f>
        <v>NR</v>
      </c>
      <c r="O401">
        <f>_xlfn.IFNA(VLOOKUP($A401,PredictionTable,MATCH(O$1,Analysts,0),FALSE),60)</f>
        <v>58</v>
      </c>
      <c r="P401">
        <f>_xlfn.IFNA(VLOOKUP($A401,PredictionTable,MATCH(P$1,Analysts,0),FALSE),60)</f>
        <v>58.4</v>
      </c>
      <c r="V401" s="7" t="s">
        <v>589</v>
      </c>
    </row>
    <row r="402" spans="1:22" x14ac:dyDescent="0.45">
      <c r="A402" s="1" t="s">
        <v>408</v>
      </c>
      <c r="B402" s="1" t="s">
        <v>343</v>
      </c>
      <c r="C402" s="1">
        <f>INDEX(T_Performances,MATCH($A402,T_Names,0))</f>
        <v>1</v>
      </c>
      <c r="D402">
        <v>56.6</v>
      </c>
      <c r="E402" s="1">
        <f>INDEX(T_Avg_PPG,MATCH($A402,T_Names,0))</f>
        <v>5.66</v>
      </c>
      <c r="F402">
        <f>1+COUNTIFS(T_Total,"&gt;"&amp;D402,T_Pos,$B402)</f>
        <v>96</v>
      </c>
      <c r="G402">
        <f>1+COUNTIFS(T_Avg_PPG,"&gt;"&amp;E402,T_Pos,$B402)</f>
        <v>106</v>
      </c>
      <c r="H402">
        <f>_xlfn.IFNA(VLOOKUP($A402,PredictionTable,MATCH(H$1,Analysts,0),FALSE),60)</f>
        <v>60</v>
      </c>
      <c r="I402">
        <f>_xlfn.IFNA(VLOOKUP($A402,PredictionTable,MATCH(I$1,Analysts,0),FALSE),60)</f>
        <v>60</v>
      </c>
      <c r="J402">
        <f>_xlfn.IFNA(VLOOKUP($A402,PredictionTable,MATCH(J$1,Analysts,0),FALSE),60)</f>
        <v>60</v>
      </c>
      <c r="K402">
        <f>_xlfn.IFNA(VLOOKUP($A402,PredictionTable,MATCH(K$1,Analysts,0),FALSE),60)</f>
        <v>60</v>
      </c>
      <c r="L402">
        <f>_xlfn.IFNA(VLOOKUP($A402,PredictionTable,MATCH(L$1,Analysts,0),FALSE),60)</f>
        <v>60</v>
      </c>
      <c r="M402">
        <f>_xlfn.IFNA(VLOOKUP($A402,PredictionTable,MATCH(M$1,Analysts,0),FALSE),60)</f>
        <v>60</v>
      </c>
      <c r="N402">
        <f>_xlfn.IFNA(VLOOKUP($A402,PredictionTable,MATCH(N$1,Analysts,0),FALSE),60)</f>
        <v>60</v>
      </c>
      <c r="O402">
        <f>_xlfn.IFNA(VLOOKUP($A402,PredictionTable,MATCH(O$1,Analysts,0),FALSE),60)</f>
        <v>60</v>
      </c>
      <c r="P402">
        <f>_xlfn.IFNA(VLOOKUP($A402,PredictionTable,MATCH(P$1,Analysts,0),FALSE),60)</f>
        <v>60</v>
      </c>
      <c r="V402" s="7" t="s">
        <v>589</v>
      </c>
    </row>
    <row r="403" spans="1:22" x14ac:dyDescent="0.45">
      <c r="A403" s="1" t="s">
        <v>409</v>
      </c>
      <c r="B403" s="1" t="s">
        <v>343</v>
      </c>
      <c r="C403" s="1">
        <f>INDEX(T_Performances,MATCH($A403,T_Names,0))</f>
        <v>3</v>
      </c>
      <c r="D403">
        <v>52.9</v>
      </c>
      <c r="E403" s="1">
        <f>INDEX(T_Avg_PPG,MATCH($A403,T_Names,0))</f>
        <v>17.633333333333333</v>
      </c>
      <c r="F403">
        <f>1+COUNTIFS(T_Total,"&gt;"&amp;D403,T_Pos,$B403)</f>
        <v>98</v>
      </c>
      <c r="G403">
        <f>1+COUNTIFS(T_Avg_PPG,"&gt;"&amp;E403,T_Pos,$B403)</f>
        <v>2</v>
      </c>
      <c r="H403">
        <f>_xlfn.IFNA(VLOOKUP($A403,PredictionTable,MATCH(H$1,Analysts,0),FALSE),60)</f>
        <v>33</v>
      </c>
      <c r="I403">
        <f>_xlfn.IFNA(VLOOKUP($A403,PredictionTable,MATCH(I$1,Analysts,0),FALSE),60)</f>
        <v>34</v>
      </c>
      <c r="J403">
        <f>_xlfn.IFNA(VLOOKUP($A403,PredictionTable,MATCH(J$1,Analysts,0),FALSE),60)</f>
        <v>36</v>
      </c>
      <c r="K403">
        <f>_xlfn.IFNA(VLOOKUP($A403,PredictionTable,MATCH(K$1,Analysts,0),FALSE),60)</f>
        <v>29</v>
      </c>
      <c r="L403">
        <f>_xlfn.IFNA(VLOOKUP($A403,PredictionTable,MATCH(L$1,Analysts,0),FALSE),60)</f>
        <v>36</v>
      </c>
      <c r="M403">
        <f>_xlfn.IFNA(VLOOKUP($A403,PredictionTable,MATCH(M$1,Analysts,0),FALSE),60)</f>
        <v>35</v>
      </c>
      <c r="N403">
        <f>_xlfn.IFNA(VLOOKUP($A403,PredictionTable,MATCH(N$1,Analysts,0),FALSE),60)</f>
        <v>38</v>
      </c>
      <c r="O403">
        <f>_xlfn.IFNA(VLOOKUP($A403,PredictionTable,MATCH(O$1,Analysts,0),FALSE),60)</f>
        <v>26</v>
      </c>
      <c r="P403">
        <f>_xlfn.IFNA(VLOOKUP($A403,PredictionTable,MATCH(P$1,Analysts,0),FALSE),60)</f>
        <v>33.4</v>
      </c>
      <c r="V403" s="7" t="s">
        <v>589</v>
      </c>
    </row>
    <row r="404" spans="1:22" x14ac:dyDescent="0.45">
      <c r="A404" s="1" t="s">
        <v>410</v>
      </c>
      <c r="B404" s="1" t="s">
        <v>343</v>
      </c>
      <c r="C404" s="1">
        <f>INDEX(T_Performances,MATCH($A404,T_Names,0))</f>
        <v>3</v>
      </c>
      <c r="D404">
        <v>136.19999999999999</v>
      </c>
      <c r="E404" s="1">
        <f>INDEX(T_Avg_PPG,MATCH($A404,T_Names,0))</f>
        <v>8.0117647058823529</v>
      </c>
      <c r="F404">
        <f>1+COUNTIFS(T_Total,"&gt;"&amp;D404,T_Pos,$B404)</f>
        <v>41</v>
      </c>
      <c r="G404">
        <f>1+COUNTIFS(T_Avg_PPG,"&gt;"&amp;E404,T_Pos,$B404)</f>
        <v>71</v>
      </c>
      <c r="H404">
        <f>_xlfn.IFNA(VLOOKUP($A404,PredictionTable,MATCH(H$1,Analysts,0),FALSE),60)</f>
        <v>60</v>
      </c>
      <c r="I404">
        <f>_xlfn.IFNA(VLOOKUP($A404,PredictionTable,MATCH(I$1,Analysts,0),FALSE),60)</f>
        <v>60</v>
      </c>
      <c r="J404">
        <f>_xlfn.IFNA(VLOOKUP($A404,PredictionTable,MATCH(J$1,Analysts,0),FALSE),60)</f>
        <v>60</v>
      </c>
      <c r="K404">
        <f>_xlfn.IFNA(VLOOKUP($A404,PredictionTable,MATCH(K$1,Analysts,0),FALSE),60)</f>
        <v>60</v>
      </c>
      <c r="L404">
        <f>_xlfn.IFNA(VLOOKUP($A404,PredictionTable,MATCH(L$1,Analysts,0),FALSE),60)</f>
        <v>60</v>
      </c>
      <c r="M404">
        <f>_xlfn.IFNA(VLOOKUP($A404,PredictionTable,MATCH(M$1,Analysts,0),FALSE),60)</f>
        <v>60</v>
      </c>
      <c r="N404">
        <f>_xlfn.IFNA(VLOOKUP($A404,PredictionTable,MATCH(N$1,Analysts,0),FALSE),60)</f>
        <v>60</v>
      </c>
      <c r="O404">
        <f>_xlfn.IFNA(VLOOKUP($A404,PredictionTable,MATCH(O$1,Analysts,0),FALSE),60)</f>
        <v>60</v>
      </c>
      <c r="P404">
        <f>_xlfn.IFNA(VLOOKUP($A404,PredictionTable,MATCH(P$1,Analysts,0),FALSE),60)</f>
        <v>60</v>
      </c>
      <c r="V404" s="7" t="s">
        <v>589</v>
      </c>
    </row>
    <row r="405" spans="1:22" x14ac:dyDescent="0.45">
      <c r="A405" s="1" t="s">
        <v>411</v>
      </c>
      <c r="B405" s="1" t="s">
        <v>343</v>
      </c>
      <c r="C405" s="1">
        <f>INDEX(T_Performances,MATCH($A405,T_Names,0))</f>
        <v>6</v>
      </c>
      <c r="D405">
        <v>131.30000000000001</v>
      </c>
      <c r="E405" s="1">
        <f>INDEX(T_Avg_PPG,MATCH($A405,T_Names,0))</f>
        <v>8.2062500000000007</v>
      </c>
      <c r="F405">
        <f>1+COUNTIFS(T_Total,"&gt;"&amp;D405,T_Pos,$B405)</f>
        <v>43</v>
      </c>
      <c r="G405">
        <f>1+COUNTIFS(T_Avg_PPG,"&gt;"&amp;E405,T_Pos,$B405)</f>
        <v>66</v>
      </c>
      <c r="H405">
        <f>_xlfn.IFNA(VLOOKUP($A405,PredictionTable,MATCH(H$1,Analysts,0),FALSE),60)</f>
        <v>60</v>
      </c>
      <c r="I405">
        <f>_xlfn.IFNA(VLOOKUP($A405,PredictionTable,MATCH(I$1,Analysts,0),FALSE),60)</f>
        <v>60</v>
      </c>
      <c r="J405">
        <f>_xlfn.IFNA(VLOOKUP($A405,PredictionTable,MATCH(J$1,Analysts,0),FALSE),60)</f>
        <v>60</v>
      </c>
      <c r="K405">
        <f>_xlfn.IFNA(VLOOKUP($A405,PredictionTable,MATCH(K$1,Analysts,0),FALSE),60)</f>
        <v>60</v>
      </c>
      <c r="L405">
        <f>_xlfn.IFNA(VLOOKUP($A405,PredictionTable,MATCH(L$1,Analysts,0),FALSE),60)</f>
        <v>60</v>
      </c>
      <c r="M405">
        <f>_xlfn.IFNA(VLOOKUP($A405,PredictionTable,MATCH(M$1,Analysts,0),FALSE),60)</f>
        <v>60</v>
      </c>
      <c r="N405">
        <f>_xlfn.IFNA(VLOOKUP($A405,PredictionTable,MATCH(N$1,Analysts,0),FALSE),60)</f>
        <v>60</v>
      </c>
      <c r="O405">
        <f>_xlfn.IFNA(VLOOKUP($A405,PredictionTable,MATCH(O$1,Analysts,0),FALSE),60)</f>
        <v>60</v>
      </c>
      <c r="P405">
        <f>_xlfn.IFNA(VLOOKUP($A405,PredictionTable,MATCH(P$1,Analysts,0),FALSE),60)</f>
        <v>60</v>
      </c>
      <c r="V405" s="7" t="s">
        <v>589</v>
      </c>
    </row>
    <row r="406" spans="1:22" x14ac:dyDescent="0.45">
      <c r="A406" s="1" t="s">
        <v>412</v>
      </c>
      <c r="B406" s="1" t="s">
        <v>343</v>
      </c>
      <c r="C406" s="1">
        <f>INDEX(T_Performances,MATCH($A406,T_Names,0))</f>
        <v>5</v>
      </c>
      <c r="D406">
        <v>127.5</v>
      </c>
      <c r="E406" s="1">
        <f>INDEX(T_Avg_PPG,MATCH($A406,T_Names,0))</f>
        <v>7.96875</v>
      </c>
      <c r="F406">
        <f>1+COUNTIFS(T_Total,"&gt;"&amp;D406,T_Pos,$B406)</f>
        <v>45</v>
      </c>
      <c r="G406">
        <f>1+COUNTIFS(T_Avg_PPG,"&gt;"&amp;E406,T_Pos,$B406)</f>
        <v>72</v>
      </c>
      <c r="H406">
        <f>_xlfn.IFNA(VLOOKUP($A406,PredictionTable,MATCH(H$1,Analysts,0),FALSE),60)</f>
        <v>60</v>
      </c>
      <c r="I406">
        <f>_xlfn.IFNA(VLOOKUP($A406,PredictionTable,MATCH(I$1,Analysts,0),FALSE),60)</f>
        <v>60</v>
      </c>
      <c r="J406">
        <f>_xlfn.IFNA(VLOOKUP($A406,PredictionTable,MATCH(J$1,Analysts,0),FALSE),60)</f>
        <v>60</v>
      </c>
      <c r="K406">
        <f>_xlfn.IFNA(VLOOKUP($A406,PredictionTable,MATCH(K$1,Analysts,0),FALSE),60)</f>
        <v>60</v>
      </c>
      <c r="L406">
        <f>_xlfn.IFNA(VLOOKUP($A406,PredictionTable,MATCH(L$1,Analysts,0),FALSE),60)</f>
        <v>60</v>
      </c>
      <c r="M406">
        <f>_xlfn.IFNA(VLOOKUP($A406,PredictionTable,MATCH(M$1,Analysts,0),FALSE),60)</f>
        <v>60</v>
      </c>
      <c r="N406">
        <f>_xlfn.IFNA(VLOOKUP($A406,PredictionTable,MATCH(N$1,Analysts,0),FALSE),60)</f>
        <v>60</v>
      </c>
      <c r="O406">
        <f>_xlfn.IFNA(VLOOKUP($A406,PredictionTable,MATCH(O$1,Analysts,0),FALSE),60)</f>
        <v>60</v>
      </c>
      <c r="P406">
        <f>_xlfn.IFNA(VLOOKUP($A406,PredictionTable,MATCH(P$1,Analysts,0),FALSE),60)</f>
        <v>60</v>
      </c>
      <c r="V406" s="7" t="s">
        <v>589</v>
      </c>
    </row>
    <row r="407" spans="1:22" x14ac:dyDescent="0.45">
      <c r="A407" s="1" t="s">
        <v>413</v>
      </c>
      <c r="B407" s="1" t="s">
        <v>343</v>
      </c>
      <c r="C407" s="1">
        <f>INDEX(T_Performances,MATCH($A407,T_Names,0))</f>
        <v>3</v>
      </c>
      <c r="D407">
        <v>114.7</v>
      </c>
      <c r="E407" s="1">
        <f>INDEX(T_Avg_PPG,MATCH($A407,T_Names,0))</f>
        <v>7.1687500000000002</v>
      </c>
      <c r="F407">
        <f>1+COUNTIFS(T_Total,"&gt;"&amp;D407,T_Pos,$B407)</f>
        <v>52</v>
      </c>
      <c r="G407">
        <f>1+COUNTIFS(T_Avg_PPG,"&gt;"&amp;E407,T_Pos,$B407)</f>
        <v>80</v>
      </c>
      <c r="H407">
        <f>_xlfn.IFNA(VLOOKUP($A407,PredictionTable,MATCH(H$1,Analysts,0),FALSE),60)</f>
        <v>60</v>
      </c>
      <c r="I407">
        <f>_xlfn.IFNA(VLOOKUP($A407,PredictionTable,MATCH(I$1,Analysts,0),FALSE),60)</f>
        <v>60</v>
      </c>
      <c r="J407">
        <f>_xlfn.IFNA(VLOOKUP($A407,PredictionTable,MATCH(J$1,Analysts,0),FALSE),60)</f>
        <v>60</v>
      </c>
      <c r="K407">
        <f>_xlfn.IFNA(VLOOKUP($A407,PredictionTable,MATCH(K$1,Analysts,0),FALSE),60)</f>
        <v>60</v>
      </c>
      <c r="L407">
        <f>_xlfn.IFNA(VLOOKUP($A407,PredictionTable,MATCH(L$1,Analysts,0),FALSE),60)</f>
        <v>60</v>
      </c>
      <c r="M407">
        <f>_xlfn.IFNA(VLOOKUP($A407,PredictionTable,MATCH(M$1,Analysts,0),FALSE),60)</f>
        <v>60</v>
      </c>
      <c r="N407">
        <f>_xlfn.IFNA(VLOOKUP($A407,PredictionTable,MATCH(N$1,Analysts,0),FALSE),60)</f>
        <v>60</v>
      </c>
      <c r="O407">
        <f>_xlfn.IFNA(VLOOKUP($A407,PredictionTable,MATCH(O$1,Analysts,0),FALSE),60)</f>
        <v>60</v>
      </c>
      <c r="P407">
        <f>_xlfn.IFNA(VLOOKUP($A407,PredictionTable,MATCH(P$1,Analysts,0),FALSE),60)</f>
        <v>60</v>
      </c>
      <c r="V407" s="7" t="s">
        <v>589</v>
      </c>
    </row>
    <row r="408" spans="1:22" x14ac:dyDescent="0.45">
      <c r="A408" s="1" t="s">
        <v>414</v>
      </c>
      <c r="B408" s="1" t="s">
        <v>343</v>
      </c>
      <c r="C408" s="1">
        <f>INDEX(T_Performances,MATCH($A408,T_Names,0))</f>
        <v>4</v>
      </c>
      <c r="D408">
        <v>105.8</v>
      </c>
      <c r="E408" s="1">
        <f>INDEX(T_Avg_PPG,MATCH($A408,T_Names,0))</f>
        <v>6.6124999999999998</v>
      </c>
      <c r="F408">
        <f>1+COUNTIFS(T_Total,"&gt;"&amp;D408,T_Pos,$B408)</f>
        <v>60</v>
      </c>
      <c r="G408">
        <f>1+COUNTIFS(T_Avg_PPG,"&gt;"&amp;E408,T_Pos,$B408)</f>
        <v>92</v>
      </c>
      <c r="H408">
        <f>_xlfn.IFNA(VLOOKUP($A408,PredictionTable,MATCH(H$1,Analysts,0),FALSE),60)</f>
        <v>60</v>
      </c>
      <c r="I408">
        <f>_xlfn.IFNA(VLOOKUP($A408,PredictionTable,MATCH(I$1,Analysts,0),FALSE),60)</f>
        <v>60</v>
      </c>
      <c r="J408">
        <f>_xlfn.IFNA(VLOOKUP($A408,PredictionTable,MATCH(J$1,Analysts,0),FALSE),60)</f>
        <v>60</v>
      </c>
      <c r="K408">
        <f>_xlfn.IFNA(VLOOKUP($A408,PredictionTable,MATCH(K$1,Analysts,0),FALSE),60)</f>
        <v>60</v>
      </c>
      <c r="L408">
        <f>_xlfn.IFNA(VLOOKUP($A408,PredictionTable,MATCH(L$1,Analysts,0),FALSE),60)</f>
        <v>60</v>
      </c>
      <c r="M408">
        <f>_xlfn.IFNA(VLOOKUP($A408,PredictionTable,MATCH(M$1,Analysts,0),FALSE),60)</f>
        <v>60</v>
      </c>
      <c r="N408">
        <f>_xlfn.IFNA(VLOOKUP($A408,PredictionTable,MATCH(N$1,Analysts,0),FALSE),60)</f>
        <v>60</v>
      </c>
      <c r="O408">
        <f>_xlfn.IFNA(VLOOKUP($A408,PredictionTable,MATCH(O$1,Analysts,0),FALSE),60)</f>
        <v>60</v>
      </c>
      <c r="P408">
        <f>_xlfn.IFNA(VLOOKUP($A408,PredictionTable,MATCH(P$1,Analysts,0),FALSE),60)</f>
        <v>60</v>
      </c>
      <c r="V408" s="7" t="s">
        <v>589</v>
      </c>
    </row>
    <row r="409" spans="1:22" x14ac:dyDescent="0.45">
      <c r="A409" s="1" t="s">
        <v>415</v>
      </c>
      <c r="B409" s="1" t="s">
        <v>343</v>
      </c>
      <c r="C409" s="1">
        <f>INDEX(T_Performances,MATCH($A409,T_Names,0))</f>
        <v>4</v>
      </c>
      <c r="D409">
        <v>100.7</v>
      </c>
      <c r="E409" s="1">
        <f>INDEX(T_Avg_PPG,MATCH($A409,T_Names,0))</f>
        <v>8.3916666666666675</v>
      </c>
      <c r="F409">
        <f>1+COUNTIFS(T_Total,"&gt;"&amp;D409,T_Pos,$B409)</f>
        <v>63</v>
      </c>
      <c r="G409">
        <f>1+COUNTIFS(T_Avg_PPG,"&gt;"&amp;E409,T_Pos,$B409)</f>
        <v>64</v>
      </c>
      <c r="H409">
        <f>_xlfn.IFNA(VLOOKUP($A409,PredictionTable,MATCH(H$1,Analysts,0),FALSE),60)</f>
        <v>31</v>
      </c>
      <c r="I409">
        <f>_xlfn.IFNA(VLOOKUP($A409,PredictionTable,MATCH(I$1,Analysts,0),FALSE),60)</f>
        <v>31</v>
      </c>
      <c r="J409">
        <f>_xlfn.IFNA(VLOOKUP($A409,PredictionTable,MATCH(J$1,Analysts,0),FALSE),60)</f>
        <v>30</v>
      </c>
      <c r="K409">
        <f>_xlfn.IFNA(VLOOKUP($A409,PredictionTable,MATCH(K$1,Analysts,0),FALSE),60)</f>
        <v>37</v>
      </c>
      <c r="L409">
        <f>_xlfn.IFNA(VLOOKUP($A409,PredictionTable,MATCH(L$1,Analysts,0),FALSE),60)</f>
        <v>31</v>
      </c>
      <c r="M409">
        <f>_xlfn.IFNA(VLOOKUP($A409,PredictionTable,MATCH(M$1,Analysts,0),FALSE),60)</f>
        <v>33</v>
      </c>
      <c r="N409">
        <f>_xlfn.IFNA(VLOOKUP($A409,PredictionTable,MATCH(N$1,Analysts,0),FALSE),60)</f>
        <v>25</v>
      </c>
      <c r="O409">
        <f>_xlfn.IFNA(VLOOKUP($A409,PredictionTable,MATCH(O$1,Analysts,0),FALSE),60)</f>
        <v>32</v>
      </c>
      <c r="P409">
        <f>_xlfn.IFNA(VLOOKUP($A409,PredictionTable,MATCH(P$1,Analysts,0),FALSE),60)</f>
        <v>31.3</v>
      </c>
      <c r="V409" s="7" t="s">
        <v>589</v>
      </c>
    </row>
    <row r="410" spans="1:22" x14ac:dyDescent="0.45">
      <c r="A410" s="1" t="s">
        <v>416</v>
      </c>
      <c r="B410" s="1" t="s">
        <v>343</v>
      </c>
      <c r="C410" s="1">
        <f>INDEX(T_Performances,MATCH($A410,T_Names,0))</f>
        <v>3</v>
      </c>
      <c r="D410">
        <v>100.6</v>
      </c>
      <c r="E410" s="1">
        <f>INDEX(T_Avg_PPG,MATCH($A410,T_Names,0))</f>
        <v>6.7066666666666661</v>
      </c>
      <c r="F410">
        <f>1+COUNTIFS(T_Total,"&gt;"&amp;D410,T_Pos,$B410)</f>
        <v>64</v>
      </c>
      <c r="G410">
        <f>1+COUNTIFS(T_Avg_PPG,"&gt;"&amp;E410,T_Pos,$B410)</f>
        <v>91</v>
      </c>
      <c r="H410">
        <f>_xlfn.IFNA(VLOOKUP($A410,PredictionTable,MATCH(H$1,Analysts,0),FALSE),60)</f>
        <v>60</v>
      </c>
      <c r="I410">
        <f>_xlfn.IFNA(VLOOKUP($A410,PredictionTable,MATCH(I$1,Analysts,0),FALSE),60)</f>
        <v>60</v>
      </c>
      <c r="J410">
        <f>_xlfn.IFNA(VLOOKUP($A410,PredictionTable,MATCH(J$1,Analysts,0),FALSE),60)</f>
        <v>60</v>
      </c>
      <c r="K410">
        <f>_xlfn.IFNA(VLOOKUP($A410,PredictionTable,MATCH(K$1,Analysts,0),FALSE),60)</f>
        <v>60</v>
      </c>
      <c r="L410">
        <f>_xlfn.IFNA(VLOOKUP($A410,PredictionTable,MATCH(L$1,Analysts,0),FALSE),60)</f>
        <v>60</v>
      </c>
      <c r="M410">
        <f>_xlfn.IFNA(VLOOKUP($A410,PredictionTable,MATCH(M$1,Analysts,0),FALSE),60)</f>
        <v>60</v>
      </c>
      <c r="N410">
        <f>_xlfn.IFNA(VLOOKUP($A410,PredictionTable,MATCH(N$1,Analysts,0),FALSE),60)</f>
        <v>60</v>
      </c>
      <c r="O410">
        <f>_xlfn.IFNA(VLOOKUP($A410,PredictionTable,MATCH(O$1,Analysts,0),FALSE),60)</f>
        <v>60</v>
      </c>
      <c r="P410">
        <f>_xlfn.IFNA(VLOOKUP($A410,PredictionTable,MATCH(P$1,Analysts,0),FALSE),60)</f>
        <v>60</v>
      </c>
      <c r="V410" s="7" t="s">
        <v>589</v>
      </c>
    </row>
    <row r="411" spans="1:22" x14ac:dyDescent="0.45">
      <c r="A411" s="1" t="s">
        <v>417</v>
      </c>
      <c r="B411" s="1" t="s">
        <v>343</v>
      </c>
      <c r="C411" s="1">
        <f>INDEX(T_Performances,MATCH($A411,T_Names,0))</f>
        <v>4</v>
      </c>
      <c r="D411">
        <v>97</v>
      </c>
      <c r="E411" s="1">
        <f>INDEX(T_Avg_PPG,MATCH($A411,T_Names,0))</f>
        <v>8.0833333333333339</v>
      </c>
      <c r="F411">
        <f>1+COUNTIFS(T_Total,"&gt;"&amp;D411,T_Pos,$B411)</f>
        <v>67</v>
      </c>
      <c r="G411">
        <f>1+COUNTIFS(T_Avg_PPG,"&gt;"&amp;E411,T_Pos,$B411)</f>
        <v>69</v>
      </c>
      <c r="H411">
        <f>_xlfn.IFNA(VLOOKUP($A411,PredictionTable,MATCH(H$1,Analysts,0),FALSE),60)</f>
        <v>52</v>
      </c>
      <c r="I411">
        <f>_xlfn.IFNA(VLOOKUP($A411,PredictionTable,MATCH(I$1,Analysts,0),FALSE),60)</f>
        <v>45</v>
      </c>
      <c r="J411">
        <f>_xlfn.IFNA(VLOOKUP($A411,PredictionTable,MATCH(J$1,Analysts,0),FALSE),60)</f>
        <v>52</v>
      </c>
      <c r="K411">
        <f>_xlfn.IFNA(VLOOKUP($A411,PredictionTable,MATCH(K$1,Analysts,0),FALSE),60)</f>
        <v>53</v>
      </c>
      <c r="L411">
        <f>_xlfn.IFNA(VLOOKUP($A411,PredictionTable,MATCH(L$1,Analysts,0),FALSE),60)</f>
        <v>45</v>
      </c>
      <c r="M411">
        <f>_xlfn.IFNA(VLOOKUP($A411,PredictionTable,MATCH(M$1,Analysts,0),FALSE),60)</f>
        <v>48</v>
      </c>
      <c r="N411">
        <f>_xlfn.IFNA(VLOOKUP($A411,PredictionTable,MATCH(N$1,Analysts,0),FALSE),60)</f>
        <v>54</v>
      </c>
      <c r="O411">
        <f>_xlfn.IFNA(VLOOKUP($A411,PredictionTable,MATCH(O$1,Analysts,0),FALSE),60)</f>
        <v>56</v>
      </c>
      <c r="P411">
        <f>_xlfn.IFNA(VLOOKUP($A411,PredictionTable,MATCH(P$1,Analysts,0),FALSE),60)</f>
        <v>50.6</v>
      </c>
      <c r="V411" s="7" t="s">
        <v>589</v>
      </c>
    </row>
    <row r="412" spans="1:22" x14ac:dyDescent="0.45">
      <c r="A412" s="1" t="s">
        <v>418</v>
      </c>
      <c r="B412" s="1" t="s">
        <v>343</v>
      </c>
      <c r="C412" s="1">
        <f>INDEX(T_Performances,MATCH($A412,T_Names,0))</f>
        <v>3</v>
      </c>
      <c r="D412">
        <v>91</v>
      </c>
      <c r="E412" s="1">
        <f>INDEX(T_Avg_PPG,MATCH($A412,T_Names,0))</f>
        <v>7</v>
      </c>
      <c r="F412">
        <f>1+COUNTIFS(T_Total,"&gt;"&amp;D412,T_Pos,$B412)</f>
        <v>70</v>
      </c>
      <c r="G412">
        <f>1+COUNTIFS(T_Avg_PPG,"&gt;"&amp;E412,T_Pos,$B412)</f>
        <v>84</v>
      </c>
      <c r="H412">
        <f>_xlfn.IFNA(VLOOKUP($A412,PredictionTable,MATCH(H$1,Analysts,0),FALSE),60)</f>
        <v>60</v>
      </c>
      <c r="I412">
        <f>_xlfn.IFNA(VLOOKUP($A412,PredictionTable,MATCH(I$1,Analysts,0),FALSE),60)</f>
        <v>60</v>
      </c>
      <c r="J412">
        <f>_xlfn.IFNA(VLOOKUP($A412,PredictionTable,MATCH(J$1,Analysts,0),FALSE),60)</f>
        <v>60</v>
      </c>
      <c r="K412">
        <f>_xlfn.IFNA(VLOOKUP($A412,PredictionTable,MATCH(K$1,Analysts,0),FALSE),60)</f>
        <v>60</v>
      </c>
      <c r="L412">
        <f>_xlfn.IFNA(VLOOKUP($A412,PredictionTable,MATCH(L$1,Analysts,0),FALSE),60)</f>
        <v>60</v>
      </c>
      <c r="M412">
        <f>_xlfn.IFNA(VLOOKUP($A412,PredictionTable,MATCH(M$1,Analysts,0),FALSE),60)</f>
        <v>60</v>
      </c>
      <c r="N412">
        <f>_xlfn.IFNA(VLOOKUP($A412,PredictionTable,MATCH(N$1,Analysts,0),FALSE),60)</f>
        <v>60</v>
      </c>
      <c r="O412">
        <f>_xlfn.IFNA(VLOOKUP($A412,PredictionTable,MATCH(O$1,Analysts,0),FALSE),60)</f>
        <v>60</v>
      </c>
      <c r="P412">
        <f>_xlfn.IFNA(VLOOKUP($A412,PredictionTable,MATCH(P$1,Analysts,0),FALSE),60)</f>
        <v>60</v>
      </c>
      <c r="V412" s="7" t="s">
        <v>589</v>
      </c>
    </row>
    <row r="413" spans="1:22" x14ac:dyDescent="0.45">
      <c r="A413" s="1" t="s">
        <v>419</v>
      </c>
      <c r="B413" s="1" t="s">
        <v>343</v>
      </c>
      <c r="C413" s="1">
        <f>INDEX(T_Performances,MATCH($A413,T_Names,0))</f>
        <v>3</v>
      </c>
      <c r="D413">
        <v>90.8</v>
      </c>
      <c r="E413" s="1">
        <f>INDEX(T_Avg_PPG,MATCH($A413,T_Names,0))</f>
        <v>9.08</v>
      </c>
      <c r="F413">
        <f>1+COUNTIFS(T_Total,"&gt;"&amp;D413,T_Pos,$B413)</f>
        <v>71</v>
      </c>
      <c r="G413">
        <f>1+COUNTIFS(T_Avg_PPG,"&gt;"&amp;E413,T_Pos,$B413)</f>
        <v>56</v>
      </c>
      <c r="H413">
        <f>_xlfn.IFNA(VLOOKUP($A413,PredictionTable,MATCH(H$1,Analysts,0),FALSE),60)</f>
        <v>37</v>
      </c>
      <c r="I413">
        <f>_xlfn.IFNA(VLOOKUP($A413,PredictionTable,MATCH(I$1,Analysts,0),FALSE),60)</f>
        <v>39</v>
      </c>
      <c r="J413">
        <f>_xlfn.IFNA(VLOOKUP($A413,PredictionTable,MATCH(J$1,Analysts,0),FALSE),60)</f>
        <v>41</v>
      </c>
      <c r="K413">
        <f>_xlfn.IFNA(VLOOKUP($A413,PredictionTable,MATCH(K$1,Analysts,0),FALSE),60)</f>
        <v>40</v>
      </c>
      <c r="L413">
        <f>_xlfn.IFNA(VLOOKUP($A413,PredictionTable,MATCH(L$1,Analysts,0),FALSE),60)</f>
        <v>37</v>
      </c>
      <c r="M413">
        <f>_xlfn.IFNA(VLOOKUP($A413,PredictionTable,MATCH(M$1,Analysts,0),FALSE),60)</f>
        <v>40</v>
      </c>
      <c r="N413">
        <f>_xlfn.IFNA(VLOOKUP($A413,PredictionTable,MATCH(N$1,Analysts,0),FALSE),60)</f>
        <v>40</v>
      </c>
      <c r="O413">
        <f>_xlfn.IFNA(VLOOKUP($A413,PredictionTable,MATCH(O$1,Analysts,0),FALSE),60)</f>
        <v>40</v>
      </c>
      <c r="P413">
        <f>_xlfn.IFNA(VLOOKUP($A413,PredictionTable,MATCH(P$1,Analysts,0),FALSE),60)</f>
        <v>39.299999999999997</v>
      </c>
      <c r="V413" s="7" t="s">
        <v>589</v>
      </c>
    </row>
    <row r="414" spans="1:22" x14ac:dyDescent="0.45">
      <c r="A414" s="1" t="s">
        <v>420</v>
      </c>
      <c r="B414" s="1" t="s">
        <v>343</v>
      </c>
      <c r="C414" s="1">
        <f>INDEX(T_Performances,MATCH($A414,T_Names,0))</f>
        <v>2</v>
      </c>
      <c r="D414">
        <v>90.5</v>
      </c>
      <c r="E414" s="1">
        <f>INDEX(T_Avg_PPG,MATCH($A414,T_Names,0))</f>
        <v>6.4642857142857144</v>
      </c>
      <c r="F414">
        <f>1+COUNTIFS(T_Total,"&gt;"&amp;D414,T_Pos,$B414)</f>
        <v>72</v>
      </c>
      <c r="G414">
        <f>1+COUNTIFS(T_Avg_PPG,"&gt;"&amp;E414,T_Pos,$B414)</f>
        <v>93</v>
      </c>
      <c r="H414">
        <f>_xlfn.IFNA(VLOOKUP($A414,PredictionTable,MATCH(H$1,Analysts,0),FALSE),60)</f>
        <v>60</v>
      </c>
      <c r="I414">
        <f>_xlfn.IFNA(VLOOKUP($A414,PredictionTable,MATCH(I$1,Analysts,0),FALSE),60)</f>
        <v>60</v>
      </c>
      <c r="J414">
        <f>_xlfn.IFNA(VLOOKUP($A414,PredictionTable,MATCH(J$1,Analysts,0),FALSE),60)</f>
        <v>60</v>
      </c>
      <c r="K414">
        <f>_xlfn.IFNA(VLOOKUP($A414,PredictionTable,MATCH(K$1,Analysts,0),FALSE),60)</f>
        <v>60</v>
      </c>
      <c r="L414">
        <f>_xlfn.IFNA(VLOOKUP($A414,PredictionTable,MATCH(L$1,Analysts,0),FALSE),60)</f>
        <v>60</v>
      </c>
      <c r="M414">
        <f>_xlfn.IFNA(VLOOKUP($A414,PredictionTable,MATCH(M$1,Analysts,0),FALSE),60)</f>
        <v>60</v>
      </c>
      <c r="N414">
        <f>_xlfn.IFNA(VLOOKUP($A414,PredictionTable,MATCH(N$1,Analysts,0),FALSE),60)</f>
        <v>60</v>
      </c>
      <c r="O414">
        <f>_xlfn.IFNA(VLOOKUP($A414,PredictionTable,MATCH(O$1,Analysts,0),FALSE),60)</f>
        <v>60</v>
      </c>
      <c r="P414">
        <f>_xlfn.IFNA(VLOOKUP($A414,PredictionTable,MATCH(P$1,Analysts,0),FALSE),60)</f>
        <v>60</v>
      </c>
      <c r="V414" s="7" t="s">
        <v>589</v>
      </c>
    </row>
    <row r="415" spans="1:22" x14ac:dyDescent="0.45">
      <c r="A415" s="1" t="s">
        <v>421</v>
      </c>
      <c r="B415" s="1" t="s">
        <v>343</v>
      </c>
      <c r="C415" s="1">
        <f>INDEX(T_Performances,MATCH($A415,T_Names,0))</f>
        <v>3</v>
      </c>
      <c r="D415">
        <v>89</v>
      </c>
      <c r="E415" s="1">
        <f>INDEX(T_Avg_PPG,MATCH($A415,T_Names,0))</f>
        <v>8.0909090909090917</v>
      </c>
      <c r="F415">
        <f>1+COUNTIFS(T_Total,"&gt;"&amp;D415,T_Pos,$B415)</f>
        <v>75</v>
      </c>
      <c r="G415">
        <f>1+COUNTIFS(T_Avg_PPG,"&gt;"&amp;E415,T_Pos,$B415)</f>
        <v>68</v>
      </c>
      <c r="H415">
        <f>_xlfn.IFNA(VLOOKUP($A415,PredictionTable,MATCH(H$1,Analysts,0),FALSE),60)</f>
        <v>60</v>
      </c>
      <c r="I415">
        <f>_xlfn.IFNA(VLOOKUP($A415,PredictionTable,MATCH(I$1,Analysts,0),FALSE),60)</f>
        <v>60</v>
      </c>
      <c r="J415">
        <f>_xlfn.IFNA(VLOOKUP($A415,PredictionTable,MATCH(J$1,Analysts,0),FALSE),60)</f>
        <v>60</v>
      </c>
      <c r="K415">
        <f>_xlfn.IFNA(VLOOKUP($A415,PredictionTable,MATCH(K$1,Analysts,0),FALSE),60)</f>
        <v>60</v>
      </c>
      <c r="L415">
        <f>_xlfn.IFNA(VLOOKUP($A415,PredictionTable,MATCH(L$1,Analysts,0),FALSE),60)</f>
        <v>60</v>
      </c>
      <c r="M415">
        <f>_xlfn.IFNA(VLOOKUP($A415,PredictionTable,MATCH(M$1,Analysts,0),FALSE),60)</f>
        <v>60</v>
      </c>
      <c r="N415">
        <f>_xlfn.IFNA(VLOOKUP($A415,PredictionTable,MATCH(N$1,Analysts,0),FALSE),60)</f>
        <v>60</v>
      </c>
      <c r="O415">
        <f>_xlfn.IFNA(VLOOKUP($A415,PredictionTable,MATCH(O$1,Analysts,0),FALSE),60)</f>
        <v>60</v>
      </c>
      <c r="P415">
        <f>_xlfn.IFNA(VLOOKUP($A415,PredictionTable,MATCH(P$1,Analysts,0),FALSE),60)</f>
        <v>60</v>
      </c>
      <c r="V415" s="7" t="s">
        <v>589</v>
      </c>
    </row>
    <row r="416" spans="1:22" x14ac:dyDescent="0.45">
      <c r="A416" s="1" t="s">
        <v>422</v>
      </c>
      <c r="B416" s="1" t="s">
        <v>343</v>
      </c>
      <c r="C416" s="1">
        <f>INDEX(T_Performances,MATCH($A416,T_Names,0))</f>
        <v>2</v>
      </c>
      <c r="D416">
        <v>76.7</v>
      </c>
      <c r="E416" s="1">
        <f>INDEX(T_Avg_PPG,MATCH($A416,T_Names,0))</f>
        <v>5.4785714285714286</v>
      </c>
      <c r="F416">
        <f>1+COUNTIFS(T_Total,"&gt;"&amp;D416,T_Pos,$B416)</f>
        <v>81</v>
      </c>
      <c r="G416">
        <f>1+COUNTIFS(T_Avg_PPG,"&gt;"&amp;E416,T_Pos,$B416)</f>
        <v>109</v>
      </c>
      <c r="H416">
        <f>_xlfn.IFNA(VLOOKUP($A416,PredictionTable,MATCH(H$1,Analysts,0),FALSE),60)</f>
        <v>60</v>
      </c>
      <c r="I416">
        <f>_xlfn.IFNA(VLOOKUP($A416,PredictionTable,MATCH(I$1,Analysts,0),FALSE),60)</f>
        <v>60</v>
      </c>
      <c r="J416">
        <f>_xlfn.IFNA(VLOOKUP($A416,PredictionTable,MATCH(J$1,Analysts,0),FALSE),60)</f>
        <v>60</v>
      </c>
      <c r="K416">
        <f>_xlfn.IFNA(VLOOKUP($A416,PredictionTable,MATCH(K$1,Analysts,0),FALSE),60)</f>
        <v>60</v>
      </c>
      <c r="L416">
        <f>_xlfn.IFNA(VLOOKUP($A416,PredictionTable,MATCH(L$1,Analysts,0),FALSE),60)</f>
        <v>60</v>
      </c>
      <c r="M416">
        <f>_xlfn.IFNA(VLOOKUP($A416,PredictionTable,MATCH(M$1,Analysts,0),FALSE),60)</f>
        <v>60</v>
      </c>
      <c r="N416">
        <f>_xlfn.IFNA(VLOOKUP($A416,PredictionTable,MATCH(N$1,Analysts,0),FALSE),60)</f>
        <v>60</v>
      </c>
      <c r="O416">
        <f>_xlfn.IFNA(VLOOKUP($A416,PredictionTable,MATCH(O$1,Analysts,0),FALSE),60)</f>
        <v>60</v>
      </c>
      <c r="P416">
        <f>_xlfn.IFNA(VLOOKUP($A416,PredictionTable,MATCH(P$1,Analysts,0),FALSE),60)</f>
        <v>60</v>
      </c>
      <c r="V416" s="7" t="s">
        <v>589</v>
      </c>
    </row>
    <row r="417" spans="1:22" x14ac:dyDescent="0.45">
      <c r="A417" s="1" t="s">
        <v>423</v>
      </c>
      <c r="B417" s="1" t="s">
        <v>343</v>
      </c>
      <c r="C417" s="1">
        <f>INDEX(T_Performances,MATCH($A417,T_Names,0))</f>
        <v>2</v>
      </c>
      <c r="D417">
        <v>75.900000000000006</v>
      </c>
      <c r="E417" s="1">
        <f>INDEX(T_Avg_PPG,MATCH($A417,T_Names,0))</f>
        <v>5.838461538461539</v>
      </c>
      <c r="F417">
        <f>1+COUNTIFS(T_Total,"&gt;"&amp;D417,T_Pos,$B417)</f>
        <v>83</v>
      </c>
      <c r="G417">
        <f>1+COUNTIFS(T_Avg_PPG,"&gt;"&amp;E417,T_Pos,$B417)</f>
        <v>104</v>
      </c>
      <c r="H417">
        <f>_xlfn.IFNA(VLOOKUP($A417,PredictionTable,MATCH(H$1,Analysts,0),FALSE),60)</f>
        <v>60</v>
      </c>
      <c r="I417">
        <f>_xlfn.IFNA(VLOOKUP($A417,PredictionTable,MATCH(I$1,Analysts,0),FALSE),60)</f>
        <v>60</v>
      </c>
      <c r="J417">
        <f>_xlfn.IFNA(VLOOKUP($A417,PredictionTable,MATCH(J$1,Analysts,0),FALSE),60)</f>
        <v>60</v>
      </c>
      <c r="K417">
        <f>_xlfn.IFNA(VLOOKUP($A417,PredictionTable,MATCH(K$1,Analysts,0),FALSE),60)</f>
        <v>60</v>
      </c>
      <c r="L417">
        <f>_xlfn.IFNA(VLOOKUP($A417,PredictionTable,MATCH(L$1,Analysts,0),FALSE),60)</f>
        <v>60</v>
      </c>
      <c r="M417">
        <f>_xlfn.IFNA(VLOOKUP($A417,PredictionTable,MATCH(M$1,Analysts,0),FALSE),60)</f>
        <v>60</v>
      </c>
      <c r="N417">
        <f>_xlfn.IFNA(VLOOKUP($A417,PredictionTable,MATCH(N$1,Analysts,0),FALSE),60)</f>
        <v>60</v>
      </c>
      <c r="O417">
        <f>_xlfn.IFNA(VLOOKUP($A417,PredictionTable,MATCH(O$1,Analysts,0),FALSE),60)</f>
        <v>60</v>
      </c>
      <c r="P417">
        <f>_xlfn.IFNA(VLOOKUP($A417,PredictionTable,MATCH(P$1,Analysts,0),FALSE),60)</f>
        <v>60</v>
      </c>
      <c r="V417" s="7" t="s">
        <v>589</v>
      </c>
    </row>
    <row r="418" spans="1:22" x14ac:dyDescent="0.45">
      <c r="A418" s="1" t="s">
        <v>424</v>
      </c>
      <c r="B418" s="1" t="s">
        <v>343</v>
      </c>
      <c r="C418" s="1">
        <f>INDEX(T_Performances,MATCH($A418,T_Names,0))</f>
        <v>2</v>
      </c>
      <c r="D418">
        <v>75</v>
      </c>
      <c r="E418" s="1">
        <f>INDEX(T_Avg_PPG,MATCH($A418,T_Names,0))</f>
        <v>7.5</v>
      </c>
      <c r="F418">
        <f>1+COUNTIFS(T_Total,"&gt;"&amp;D418,T_Pos,$B418)</f>
        <v>84</v>
      </c>
      <c r="G418">
        <f>1+COUNTIFS(T_Avg_PPG,"&gt;"&amp;E418,T_Pos,$B418)</f>
        <v>75</v>
      </c>
      <c r="H418">
        <f>_xlfn.IFNA(VLOOKUP($A418,PredictionTable,MATCH(H$1,Analysts,0),FALSE),60)</f>
        <v>60</v>
      </c>
      <c r="I418">
        <f>_xlfn.IFNA(VLOOKUP($A418,PredictionTable,MATCH(I$1,Analysts,0),FALSE),60)</f>
        <v>60</v>
      </c>
      <c r="J418">
        <f>_xlfn.IFNA(VLOOKUP($A418,PredictionTable,MATCH(J$1,Analysts,0),FALSE),60)</f>
        <v>60</v>
      </c>
      <c r="K418">
        <f>_xlfn.IFNA(VLOOKUP($A418,PredictionTable,MATCH(K$1,Analysts,0),FALSE),60)</f>
        <v>60</v>
      </c>
      <c r="L418">
        <f>_xlfn.IFNA(VLOOKUP($A418,PredictionTable,MATCH(L$1,Analysts,0),FALSE),60)</f>
        <v>60</v>
      </c>
      <c r="M418">
        <f>_xlfn.IFNA(VLOOKUP($A418,PredictionTable,MATCH(M$1,Analysts,0),FALSE),60)</f>
        <v>60</v>
      </c>
      <c r="N418">
        <f>_xlfn.IFNA(VLOOKUP($A418,PredictionTable,MATCH(N$1,Analysts,0),FALSE),60)</f>
        <v>60</v>
      </c>
      <c r="O418">
        <f>_xlfn.IFNA(VLOOKUP($A418,PredictionTable,MATCH(O$1,Analysts,0),FALSE),60)</f>
        <v>60</v>
      </c>
      <c r="P418">
        <f>_xlfn.IFNA(VLOOKUP($A418,PredictionTable,MATCH(P$1,Analysts,0),FALSE),60)</f>
        <v>60</v>
      </c>
      <c r="V418" s="7" t="s">
        <v>589</v>
      </c>
    </row>
    <row r="419" spans="1:22" x14ac:dyDescent="0.45">
      <c r="A419" s="1" t="s">
        <v>425</v>
      </c>
      <c r="B419" s="1" t="s">
        <v>343</v>
      </c>
      <c r="C419" s="1">
        <f>INDEX(T_Performances,MATCH($A419,T_Names,0))</f>
        <v>1</v>
      </c>
      <c r="D419">
        <v>71.8</v>
      </c>
      <c r="E419" s="1">
        <f>INDEX(T_Avg_PPG,MATCH($A419,T_Names,0))</f>
        <v>5.523076923076923</v>
      </c>
      <c r="F419">
        <f>1+COUNTIFS(T_Total,"&gt;"&amp;D419,T_Pos,$B419)</f>
        <v>87</v>
      </c>
      <c r="G419">
        <f>1+COUNTIFS(T_Avg_PPG,"&gt;"&amp;E419,T_Pos,$B419)</f>
        <v>107</v>
      </c>
      <c r="H419">
        <f>_xlfn.IFNA(VLOOKUP($A419,PredictionTable,MATCH(H$1,Analysts,0),FALSE),60)</f>
        <v>60</v>
      </c>
      <c r="I419">
        <f>_xlfn.IFNA(VLOOKUP($A419,PredictionTable,MATCH(I$1,Analysts,0),FALSE),60)</f>
        <v>60</v>
      </c>
      <c r="J419">
        <f>_xlfn.IFNA(VLOOKUP($A419,PredictionTable,MATCH(J$1,Analysts,0),FALSE),60)</f>
        <v>60</v>
      </c>
      <c r="K419">
        <f>_xlfn.IFNA(VLOOKUP($A419,PredictionTable,MATCH(K$1,Analysts,0),FALSE),60)</f>
        <v>60</v>
      </c>
      <c r="L419">
        <f>_xlfn.IFNA(VLOOKUP($A419,PredictionTable,MATCH(L$1,Analysts,0),FALSE),60)</f>
        <v>60</v>
      </c>
      <c r="M419">
        <f>_xlfn.IFNA(VLOOKUP($A419,PredictionTable,MATCH(M$1,Analysts,0),FALSE),60)</f>
        <v>60</v>
      </c>
      <c r="N419">
        <f>_xlfn.IFNA(VLOOKUP($A419,PredictionTable,MATCH(N$1,Analysts,0),FALSE),60)</f>
        <v>60</v>
      </c>
      <c r="O419">
        <f>_xlfn.IFNA(VLOOKUP($A419,PredictionTable,MATCH(O$1,Analysts,0),FALSE),60)</f>
        <v>60</v>
      </c>
      <c r="P419">
        <f>_xlfn.IFNA(VLOOKUP($A419,PredictionTable,MATCH(P$1,Analysts,0),FALSE),60)</f>
        <v>60</v>
      </c>
      <c r="V419" s="7" t="s">
        <v>589</v>
      </c>
    </row>
    <row r="420" spans="1:22" x14ac:dyDescent="0.45">
      <c r="A420" s="1" t="s">
        <v>426</v>
      </c>
      <c r="B420" s="1" t="s">
        <v>343</v>
      </c>
      <c r="C420" s="1">
        <f>INDEX(T_Performances,MATCH($A420,T_Names,0))</f>
        <v>2</v>
      </c>
      <c r="D420">
        <v>69.099999999999994</v>
      </c>
      <c r="E420" s="1">
        <f>INDEX(T_Avg_PPG,MATCH($A420,T_Names,0))</f>
        <v>5.3153846153846152</v>
      </c>
      <c r="F420">
        <f>1+COUNTIFS(T_Total,"&gt;"&amp;D420,T_Pos,$B420)</f>
        <v>88</v>
      </c>
      <c r="G420">
        <f>1+COUNTIFS(T_Avg_PPG,"&gt;"&amp;E420,T_Pos,$B420)</f>
        <v>113</v>
      </c>
      <c r="H420">
        <f>_xlfn.IFNA(VLOOKUP($A420,PredictionTable,MATCH(H$1,Analysts,0),FALSE),60)</f>
        <v>60</v>
      </c>
      <c r="I420">
        <f>_xlfn.IFNA(VLOOKUP($A420,PredictionTable,MATCH(I$1,Analysts,0),FALSE),60)</f>
        <v>60</v>
      </c>
      <c r="J420">
        <f>_xlfn.IFNA(VLOOKUP($A420,PredictionTable,MATCH(J$1,Analysts,0),FALSE),60)</f>
        <v>60</v>
      </c>
      <c r="K420">
        <f>_xlfn.IFNA(VLOOKUP($A420,PredictionTable,MATCH(K$1,Analysts,0),FALSE),60)</f>
        <v>60</v>
      </c>
      <c r="L420">
        <f>_xlfn.IFNA(VLOOKUP($A420,PredictionTable,MATCH(L$1,Analysts,0),FALSE),60)</f>
        <v>60</v>
      </c>
      <c r="M420">
        <f>_xlfn.IFNA(VLOOKUP($A420,PredictionTable,MATCH(M$1,Analysts,0),FALSE),60)</f>
        <v>60</v>
      </c>
      <c r="N420">
        <f>_xlfn.IFNA(VLOOKUP($A420,PredictionTable,MATCH(N$1,Analysts,0),FALSE),60)</f>
        <v>60</v>
      </c>
      <c r="O420">
        <f>_xlfn.IFNA(VLOOKUP($A420,PredictionTable,MATCH(O$1,Analysts,0),FALSE),60)</f>
        <v>60</v>
      </c>
      <c r="P420">
        <f>_xlfn.IFNA(VLOOKUP($A420,PredictionTable,MATCH(P$1,Analysts,0),FALSE),60)</f>
        <v>60</v>
      </c>
      <c r="V420" s="7" t="s">
        <v>589</v>
      </c>
    </row>
    <row r="421" spans="1:22" x14ac:dyDescent="0.45">
      <c r="A421" s="1" t="s">
        <v>427</v>
      </c>
      <c r="B421" s="1" t="s">
        <v>343</v>
      </c>
      <c r="C421" s="1">
        <f>INDEX(T_Performances,MATCH($A421,T_Names,0))</f>
        <v>4</v>
      </c>
      <c r="D421">
        <v>60.7</v>
      </c>
      <c r="E421" s="1">
        <f>INDEX(T_Avg_PPG,MATCH($A421,T_Names,0))</f>
        <v>8.6714285714285726</v>
      </c>
      <c r="F421">
        <f>1+COUNTIFS(T_Total,"&gt;"&amp;D421,T_Pos,$B421)</f>
        <v>93</v>
      </c>
      <c r="G421">
        <f>1+COUNTIFS(T_Avg_PPG,"&gt;"&amp;E421,T_Pos,$B421)</f>
        <v>59</v>
      </c>
      <c r="H421">
        <f>_xlfn.IFNA(VLOOKUP($A421,PredictionTable,MATCH(H$1,Analysts,0),FALSE),60)</f>
        <v>11</v>
      </c>
      <c r="I421">
        <f>_xlfn.IFNA(VLOOKUP($A421,PredictionTable,MATCH(I$1,Analysts,0),FALSE),60)</f>
        <v>9</v>
      </c>
      <c r="J421">
        <f>_xlfn.IFNA(VLOOKUP($A421,PredictionTable,MATCH(J$1,Analysts,0),FALSE),60)</f>
        <v>10</v>
      </c>
      <c r="K421">
        <f>_xlfn.IFNA(VLOOKUP($A421,PredictionTable,MATCH(K$1,Analysts,0),FALSE),60)</f>
        <v>9</v>
      </c>
      <c r="L421">
        <f>_xlfn.IFNA(VLOOKUP($A421,PredictionTable,MATCH(L$1,Analysts,0),FALSE),60)</f>
        <v>10</v>
      </c>
      <c r="M421">
        <f>_xlfn.IFNA(VLOOKUP($A421,PredictionTable,MATCH(M$1,Analysts,0),FALSE),60)</f>
        <v>10</v>
      </c>
      <c r="N421">
        <f>_xlfn.IFNA(VLOOKUP($A421,PredictionTable,MATCH(N$1,Analysts,0),FALSE),60)</f>
        <v>12</v>
      </c>
      <c r="O421">
        <f>_xlfn.IFNA(VLOOKUP($A421,PredictionTable,MATCH(O$1,Analysts,0),FALSE),60)</f>
        <v>12</v>
      </c>
      <c r="P421">
        <f>_xlfn.IFNA(VLOOKUP($A421,PredictionTable,MATCH(P$1,Analysts,0),FALSE),60)</f>
        <v>10.4</v>
      </c>
      <c r="V421" s="7" t="s">
        <v>589</v>
      </c>
    </row>
    <row r="422" spans="1:22" x14ac:dyDescent="0.45">
      <c r="A422" s="1" t="s">
        <v>428</v>
      </c>
      <c r="B422" s="1" t="s">
        <v>343</v>
      </c>
      <c r="C422" s="1">
        <f>INDEX(T_Performances,MATCH($A422,T_Names,0))</f>
        <v>3</v>
      </c>
      <c r="D422">
        <v>57.4</v>
      </c>
      <c r="E422" s="1">
        <f>INDEX(T_Avg_PPG,MATCH($A422,T_Names,0))</f>
        <v>8.1999999999999993</v>
      </c>
      <c r="F422">
        <f>1+COUNTIFS(T_Total,"&gt;"&amp;D422,T_Pos,$B422)</f>
        <v>95</v>
      </c>
      <c r="G422">
        <f>1+COUNTIFS(T_Avg_PPG,"&gt;"&amp;E422,T_Pos,$B422)</f>
        <v>67</v>
      </c>
      <c r="H422">
        <f>_xlfn.IFNA(VLOOKUP($A422,PredictionTable,MATCH(H$1,Analysts,0),FALSE),60)</f>
        <v>32</v>
      </c>
      <c r="I422">
        <f>_xlfn.IFNA(VLOOKUP($A422,PredictionTable,MATCH(I$1,Analysts,0),FALSE),60)</f>
        <v>35</v>
      </c>
      <c r="J422">
        <f>_xlfn.IFNA(VLOOKUP($A422,PredictionTable,MATCH(J$1,Analysts,0),FALSE),60)</f>
        <v>32</v>
      </c>
      <c r="K422">
        <f>_xlfn.IFNA(VLOOKUP($A422,PredictionTable,MATCH(K$1,Analysts,0),FALSE),60)</f>
        <v>34</v>
      </c>
      <c r="L422">
        <f>_xlfn.IFNA(VLOOKUP($A422,PredictionTable,MATCH(L$1,Analysts,0),FALSE),60)</f>
        <v>33</v>
      </c>
      <c r="M422">
        <f>_xlfn.IFNA(VLOOKUP($A422,PredictionTable,MATCH(M$1,Analysts,0),FALSE),60)</f>
        <v>36</v>
      </c>
      <c r="N422">
        <f>_xlfn.IFNA(VLOOKUP($A422,PredictionTable,MATCH(N$1,Analysts,0),FALSE),60)</f>
        <v>29</v>
      </c>
      <c r="O422">
        <f>_xlfn.IFNA(VLOOKUP($A422,PredictionTable,MATCH(O$1,Analysts,0),FALSE),60)</f>
        <v>29</v>
      </c>
      <c r="P422">
        <f>_xlfn.IFNA(VLOOKUP($A422,PredictionTable,MATCH(P$1,Analysts,0),FALSE),60)</f>
        <v>32.5</v>
      </c>
      <c r="V422" s="7" t="s">
        <v>589</v>
      </c>
    </row>
    <row r="423" spans="1:22" x14ac:dyDescent="0.45">
      <c r="A423" s="1" t="s">
        <v>429</v>
      </c>
      <c r="B423" s="1" t="s">
        <v>343</v>
      </c>
      <c r="C423" s="1">
        <f>INDEX(T_Performances,MATCH($A423,T_Names,0))</f>
        <v>1</v>
      </c>
      <c r="D423">
        <v>51.1</v>
      </c>
      <c r="E423" s="1">
        <f>INDEX(T_Avg_PPG,MATCH($A423,T_Names,0))</f>
        <v>4.6454545454545455</v>
      </c>
      <c r="F423">
        <f>1+COUNTIFS(T_Total,"&gt;"&amp;D423,T_Pos,$B423)</f>
        <v>102</v>
      </c>
      <c r="G423">
        <f>1+COUNTIFS(T_Avg_PPG,"&gt;"&amp;E423,T_Pos,$B423)</f>
        <v>124</v>
      </c>
      <c r="H423">
        <f>_xlfn.IFNA(VLOOKUP($A423,PredictionTable,MATCH(H$1,Analysts,0),FALSE),60)</f>
        <v>60</v>
      </c>
      <c r="I423">
        <f>_xlfn.IFNA(VLOOKUP($A423,PredictionTable,MATCH(I$1,Analysts,0),FALSE),60)</f>
        <v>60</v>
      </c>
      <c r="J423">
        <f>_xlfn.IFNA(VLOOKUP($A423,PredictionTable,MATCH(J$1,Analysts,0),FALSE),60)</f>
        <v>60</v>
      </c>
      <c r="K423">
        <f>_xlfn.IFNA(VLOOKUP($A423,PredictionTable,MATCH(K$1,Analysts,0),FALSE),60)</f>
        <v>60</v>
      </c>
      <c r="L423">
        <f>_xlfn.IFNA(VLOOKUP($A423,PredictionTable,MATCH(L$1,Analysts,0),FALSE),60)</f>
        <v>60</v>
      </c>
      <c r="M423">
        <f>_xlfn.IFNA(VLOOKUP($A423,PredictionTable,MATCH(M$1,Analysts,0),FALSE),60)</f>
        <v>60</v>
      </c>
      <c r="N423">
        <f>_xlfn.IFNA(VLOOKUP($A423,PredictionTable,MATCH(N$1,Analysts,0),FALSE),60)</f>
        <v>60</v>
      </c>
      <c r="O423">
        <f>_xlfn.IFNA(VLOOKUP($A423,PredictionTable,MATCH(O$1,Analysts,0),FALSE),60)</f>
        <v>60</v>
      </c>
      <c r="P423">
        <f>_xlfn.IFNA(VLOOKUP($A423,PredictionTable,MATCH(P$1,Analysts,0),FALSE),60)</f>
        <v>60</v>
      </c>
      <c r="V423" s="7" t="s">
        <v>589</v>
      </c>
    </row>
    <row r="424" spans="1:22" x14ac:dyDescent="0.45">
      <c r="A424" s="1" t="s">
        <v>430</v>
      </c>
      <c r="B424" s="1" t="s">
        <v>343</v>
      </c>
      <c r="C424" s="1">
        <f>INDEX(T_Performances,MATCH($A424,T_Names,0))</f>
        <v>1</v>
      </c>
      <c r="D424">
        <v>49.9</v>
      </c>
      <c r="E424" s="1">
        <f>INDEX(T_Avg_PPG,MATCH($A424,T_Names,0))</f>
        <v>7.1285714285714281</v>
      </c>
      <c r="F424">
        <f>1+COUNTIFS(T_Total,"&gt;"&amp;D424,T_Pos,$B424)</f>
        <v>103</v>
      </c>
      <c r="G424">
        <f>1+COUNTIFS(T_Avg_PPG,"&gt;"&amp;E424,T_Pos,$B424)</f>
        <v>82</v>
      </c>
      <c r="H424">
        <f>_xlfn.IFNA(VLOOKUP($A424,PredictionTable,MATCH(H$1,Analysts,0),FALSE),60)</f>
        <v>18</v>
      </c>
      <c r="I424">
        <f>_xlfn.IFNA(VLOOKUP($A424,PredictionTable,MATCH(I$1,Analysts,0),FALSE),60)</f>
        <v>20</v>
      </c>
      <c r="J424">
        <f>_xlfn.IFNA(VLOOKUP($A424,PredictionTable,MATCH(J$1,Analysts,0),FALSE),60)</f>
        <v>19</v>
      </c>
      <c r="K424">
        <f>_xlfn.IFNA(VLOOKUP($A424,PredictionTable,MATCH(K$1,Analysts,0),FALSE),60)</f>
        <v>17</v>
      </c>
      <c r="L424">
        <f>_xlfn.IFNA(VLOOKUP($A424,PredictionTable,MATCH(L$1,Analysts,0),FALSE),60)</f>
        <v>20</v>
      </c>
      <c r="M424">
        <f>_xlfn.IFNA(VLOOKUP($A424,PredictionTable,MATCH(M$1,Analysts,0),FALSE),60)</f>
        <v>19</v>
      </c>
      <c r="N424">
        <f>_xlfn.IFNA(VLOOKUP($A424,PredictionTable,MATCH(N$1,Analysts,0),FALSE),60)</f>
        <v>16</v>
      </c>
      <c r="O424">
        <f>_xlfn.IFNA(VLOOKUP($A424,PredictionTable,MATCH(O$1,Analysts,0),FALSE),60)</f>
        <v>22</v>
      </c>
      <c r="P424">
        <f>_xlfn.IFNA(VLOOKUP($A424,PredictionTable,MATCH(P$1,Analysts,0),FALSE),60)</f>
        <v>18.899999999999999</v>
      </c>
      <c r="V424" s="7" t="s">
        <v>589</v>
      </c>
    </row>
    <row r="425" spans="1:22" x14ac:dyDescent="0.45">
      <c r="A425" s="1" t="s">
        <v>431</v>
      </c>
      <c r="B425" s="1" t="s">
        <v>343</v>
      </c>
      <c r="C425" s="1">
        <f>INDEX(T_Performances,MATCH($A425,T_Names,0))</f>
        <v>1</v>
      </c>
      <c r="D425">
        <v>44.1</v>
      </c>
      <c r="E425" s="1">
        <f>INDEX(T_Avg_PPG,MATCH($A425,T_Names,0))</f>
        <v>5.5125000000000002</v>
      </c>
      <c r="F425">
        <f>1+COUNTIFS(T_Total,"&gt;"&amp;D425,T_Pos,$B425)</f>
        <v>108</v>
      </c>
      <c r="G425">
        <f>1+COUNTIFS(T_Avg_PPG,"&gt;"&amp;E425,T_Pos,$B425)</f>
        <v>108</v>
      </c>
      <c r="H425">
        <f>_xlfn.IFNA(VLOOKUP($A425,PredictionTable,MATCH(H$1,Analysts,0),FALSE),60)</f>
        <v>60</v>
      </c>
      <c r="I425">
        <f>_xlfn.IFNA(VLOOKUP($A425,PredictionTable,MATCH(I$1,Analysts,0),FALSE),60)</f>
        <v>60</v>
      </c>
      <c r="J425">
        <f>_xlfn.IFNA(VLOOKUP($A425,PredictionTable,MATCH(J$1,Analysts,0),FALSE),60)</f>
        <v>60</v>
      </c>
      <c r="K425">
        <f>_xlfn.IFNA(VLOOKUP($A425,PredictionTable,MATCH(K$1,Analysts,0),FALSE),60)</f>
        <v>60</v>
      </c>
      <c r="L425">
        <f>_xlfn.IFNA(VLOOKUP($A425,PredictionTable,MATCH(L$1,Analysts,0),FALSE),60)</f>
        <v>60</v>
      </c>
      <c r="M425">
        <f>_xlfn.IFNA(VLOOKUP($A425,PredictionTable,MATCH(M$1,Analysts,0),FALSE),60)</f>
        <v>60</v>
      </c>
      <c r="N425">
        <f>_xlfn.IFNA(VLOOKUP($A425,PredictionTable,MATCH(N$1,Analysts,0),FALSE),60)</f>
        <v>60</v>
      </c>
      <c r="O425">
        <f>_xlfn.IFNA(VLOOKUP($A425,PredictionTable,MATCH(O$1,Analysts,0),FALSE),60)</f>
        <v>60</v>
      </c>
      <c r="P425">
        <f>_xlfn.IFNA(VLOOKUP($A425,PredictionTable,MATCH(P$1,Analysts,0),FALSE),60)</f>
        <v>60</v>
      </c>
      <c r="V425" s="7" t="s">
        <v>589</v>
      </c>
    </row>
    <row r="426" spans="1:22" x14ac:dyDescent="0.45">
      <c r="A426" s="1" t="s">
        <v>432</v>
      </c>
      <c r="B426" s="1" t="s">
        <v>343</v>
      </c>
      <c r="C426" s="1">
        <f>INDEX(T_Performances,MATCH($A426,T_Names,0))</f>
        <v>1</v>
      </c>
      <c r="D426">
        <v>43.9</v>
      </c>
      <c r="E426" s="1">
        <f>INDEX(T_Avg_PPG,MATCH($A426,T_Names,0))</f>
        <v>6.2714285714285714</v>
      </c>
      <c r="F426">
        <f>1+COUNTIFS(T_Total,"&gt;"&amp;D426,T_Pos,$B426)</f>
        <v>109</v>
      </c>
      <c r="G426">
        <f>1+COUNTIFS(T_Avg_PPG,"&gt;"&amp;E426,T_Pos,$B426)</f>
        <v>99</v>
      </c>
      <c r="H426">
        <f>_xlfn.IFNA(VLOOKUP($A426,PredictionTable,MATCH(H$1,Analysts,0),FALSE),60)</f>
        <v>60</v>
      </c>
      <c r="I426">
        <f>_xlfn.IFNA(VLOOKUP($A426,PredictionTable,MATCH(I$1,Analysts,0),FALSE),60)</f>
        <v>60</v>
      </c>
      <c r="J426">
        <f>_xlfn.IFNA(VLOOKUP($A426,PredictionTable,MATCH(J$1,Analysts,0),FALSE),60)</f>
        <v>60</v>
      </c>
      <c r="K426">
        <f>_xlfn.IFNA(VLOOKUP($A426,PredictionTable,MATCH(K$1,Analysts,0),FALSE),60)</f>
        <v>60</v>
      </c>
      <c r="L426">
        <f>_xlfn.IFNA(VLOOKUP($A426,PredictionTable,MATCH(L$1,Analysts,0),FALSE),60)</f>
        <v>60</v>
      </c>
      <c r="M426">
        <f>_xlfn.IFNA(VLOOKUP($A426,PredictionTable,MATCH(M$1,Analysts,0),FALSE),60)</f>
        <v>60</v>
      </c>
      <c r="N426">
        <f>_xlfn.IFNA(VLOOKUP($A426,PredictionTable,MATCH(N$1,Analysts,0),FALSE),60)</f>
        <v>60</v>
      </c>
      <c r="O426">
        <f>_xlfn.IFNA(VLOOKUP($A426,PredictionTable,MATCH(O$1,Analysts,0),FALSE),60)</f>
        <v>60</v>
      </c>
      <c r="P426">
        <f>_xlfn.IFNA(VLOOKUP($A426,PredictionTable,MATCH(P$1,Analysts,0),FALSE),60)</f>
        <v>60</v>
      </c>
      <c r="V426" s="7" t="s">
        <v>589</v>
      </c>
    </row>
    <row r="427" spans="1:22" x14ac:dyDescent="0.45">
      <c r="A427" s="1" t="s">
        <v>433</v>
      </c>
      <c r="B427" s="1" t="s">
        <v>343</v>
      </c>
      <c r="C427" s="1">
        <f>INDEX(T_Performances,MATCH($A427,T_Names,0))</f>
        <v>1</v>
      </c>
      <c r="D427">
        <v>43.4</v>
      </c>
      <c r="E427" s="1">
        <f>INDEX(T_Avg_PPG,MATCH($A427,T_Names,0))</f>
        <v>4.822222222222222</v>
      </c>
      <c r="F427">
        <f>1+COUNTIFS(T_Total,"&gt;"&amp;D427,T_Pos,$B427)</f>
        <v>110</v>
      </c>
      <c r="G427">
        <f>1+COUNTIFS(T_Avg_PPG,"&gt;"&amp;E427,T_Pos,$B427)</f>
        <v>122</v>
      </c>
      <c r="H427">
        <f>_xlfn.IFNA(VLOOKUP($A427,PredictionTable,MATCH(H$1,Analysts,0),FALSE),60)</f>
        <v>60</v>
      </c>
      <c r="I427">
        <f>_xlfn.IFNA(VLOOKUP($A427,PredictionTable,MATCH(I$1,Analysts,0),FALSE),60)</f>
        <v>60</v>
      </c>
      <c r="J427">
        <f>_xlfn.IFNA(VLOOKUP($A427,PredictionTable,MATCH(J$1,Analysts,0),FALSE),60)</f>
        <v>60</v>
      </c>
      <c r="K427">
        <f>_xlfn.IFNA(VLOOKUP($A427,PredictionTable,MATCH(K$1,Analysts,0),FALSE),60)</f>
        <v>60</v>
      </c>
      <c r="L427">
        <f>_xlfn.IFNA(VLOOKUP($A427,PredictionTable,MATCH(L$1,Analysts,0),FALSE),60)</f>
        <v>60</v>
      </c>
      <c r="M427">
        <f>_xlfn.IFNA(VLOOKUP($A427,PredictionTable,MATCH(M$1,Analysts,0),FALSE),60)</f>
        <v>60</v>
      </c>
      <c r="N427">
        <f>_xlfn.IFNA(VLOOKUP($A427,PredictionTable,MATCH(N$1,Analysts,0),FALSE),60)</f>
        <v>60</v>
      </c>
      <c r="O427">
        <f>_xlfn.IFNA(VLOOKUP($A427,PredictionTable,MATCH(O$1,Analysts,0),FALSE),60)</f>
        <v>60</v>
      </c>
      <c r="P427">
        <f>_xlfn.IFNA(VLOOKUP($A427,PredictionTable,MATCH(P$1,Analysts,0),FALSE),60)</f>
        <v>60</v>
      </c>
      <c r="V427" s="7" t="s">
        <v>589</v>
      </c>
    </row>
    <row r="428" spans="1:22" x14ac:dyDescent="0.45">
      <c r="A428" s="1" t="s">
        <v>434</v>
      </c>
      <c r="B428" s="1" t="s">
        <v>343</v>
      </c>
      <c r="C428" s="1">
        <f>INDEX(T_Performances,MATCH($A428,T_Names,0))</f>
        <v>1</v>
      </c>
      <c r="D428">
        <v>30.8</v>
      </c>
      <c r="E428" s="1">
        <f>INDEX(T_Avg_PPG,MATCH($A428,T_Names,0))</f>
        <v>5.1333333333333337</v>
      </c>
      <c r="F428">
        <f>1+COUNTIFS(T_Total,"&gt;"&amp;D428,T_Pos,$B428)</f>
        <v>121</v>
      </c>
      <c r="G428">
        <f>1+COUNTIFS(T_Avg_PPG,"&gt;"&amp;E428,T_Pos,$B428)</f>
        <v>119</v>
      </c>
      <c r="H428">
        <f>_xlfn.IFNA(VLOOKUP($A428,PredictionTable,MATCH(H$1,Analysts,0),FALSE),60)</f>
        <v>60</v>
      </c>
      <c r="I428">
        <f>_xlfn.IFNA(VLOOKUP($A428,PredictionTable,MATCH(I$1,Analysts,0),FALSE),60)</f>
        <v>60</v>
      </c>
      <c r="J428">
        <f>_xlfn.IFNA(VLOOKUP($A428,PredictionTable,MATCH(J$1,Analysts,0),FALSE),60)</f>
        <v>60</v>
      </c>
      <c r="K428">
        <f>_xlfn.IFNA(VLOOKUP($A428,PredictionTable,MATCH(K$1,Analysts,0),FALSE),60)</f>
        <v>60</v>
      </c>
      <c r="L428">
        <f>_xlfn.IFNA(VLOOKUP($A428,PredictionTable,MATCH(L$1,Analysts,0),FALSE),60)</f>
        <v>60</v>
      </c>
      <c r="M428">
        <f>_xlfn.IFNA(VLOOKUP($A428,PredictionTable,MATCH(M$1,Analysts,0),FALSE),60)</f>
        <v>60</v>
      </c>
      <c r="N428">
        <f>_xlfn.IFNA(VLOOKUP($A428,PredictionTable,MATCH(N$1,Analysts,0),FALSE),60)</f>
        <v>60</v>
      </c>
      <c r="O428">
        <f>_xlfn.IFNA(VLOOKUP($A428,PredictionTable,MATCH(O$1,Analysts,0),FALSE),60)</f>
        <v>60</v>
      </c>
      <c r="P428">
        <f>_xlfn.IFNA(VLOOKUP($A428,PredictionTable,MATCH(P$1,Analysts,0),FALSE),60)</f>
        <v>60</v>
      </c>
      <c r="V428" s="7" t="s">
        <v>589</v>
      </c>
    </row>
    <row r="429" spans="1:22" x14ac:dyDescent="0.45">
      <c r="A429" s="1" t="s">
        <v>435</v>
      </c>
      <c r="B429" s="1" t="s">
        <v>343</v>
      </c>
      <c r="C429" s="1">
        <f>INDEX(T_Performances,MATCH($A429,T_Names,0))</f>
        <v>3</v>
      </c>
      <c r="D429">
        <v>109.5</v>
      </c>
      <c r="E429" s="1">
        <f>INDEX(T_Avg_PPG,MATCH($A429,T_Names,0))</f>
        <v>6.4411764705882355</v>
      </c>
      <c r="F429">
        <f>1+COUNTIFS(T_Total,"&gt;"&amp;D429,T_Pos,$B429)</f>
        <v>56</v>
      </c>
      <c r="G429">
        <f>1+COUNTIFS(T_Avg_PPG,"&gt;"&amp;E429,T_Pos,$B429)</f>
        <v>95</v>
      </c>
      <c r="H429">
        <f>_xlfn.IFNA(VLOOKUP($A429,PredictionTable,MATCH(H$1,Analysts,0),FALSE),60)</f>
        <v>60</v>
      </c>
      <c r="I429">
        <f>_xlfn.IFNA(VLOOKUP($A429,PredictionTable,MATCH(I$1,Analysts,0),FALSE),60)</f>
        <v>60</v>
      </c>
      <c r="J429">
        <f>_xlfn.IFNA(VLOOKUP($A429,PredictionTable,MATCH(J$1,Analysts,0),FALSE),60)</f>
        <v>60</v>
      </c>
      <c r="K429">
        <f>_xlfn.IFNA(VLOOKUP($A429,PredictionTable,MATCH(K$1,Analysts,0),FALSE),60)</f>
        <v>60</v>
      </c>
      <c r="L429">
        <f>_xlfn.IFNA(VLOOKUP($A429,PredictionTable,MATCH(L$1,Analysts,0),FALSE),60)</f>
        <v>60</v>
      </c>
      <c r="M429">
        <f>_xlfn.IFNA(VLOOKUP($A429,PredictionTable,MATCH(M$1,Analysts,0),FALSE),60)</f>
        <v>60</v>
      </c>
      <c r="N429">
        <f>_xlfn.IFNA(VLOOKUP($A429,PredictionTable,MATCH(N$1,Analysts,0),FALSE),60)</f>
        <v>60</v>
      </c>
      <c r="O429">
        <f>_xlfn.IFNA(VLOOKUP($A429,PredictionTable,MATCH(O$1,Analysts,0),FALSE),60)</f>
        <v>60</v>
      </c>
      <c r="P429">
        <f>_xlfn.IFNA(VLOOKUP($A429,PredictionTable,MATCH(P$1,Analysts,0),FALSE),60)</f>
        <v>60</v>
      </c>
      <c r="V429" s="7" t="s">
        <v>589</v>
      </c>
    </row>
    <row r="430" spans="1:22" x14ac:dyDescent="0.45">
      <c r="A430" s="1" t="s">
        <v>436</v>
      </c>
      <c r="B430" s="1" t="s">
        <v>343</v>
      </c>
      <c r="C430" s="1">
        <f>INDEX(T_Performances,MATCH($A430,T_Names,0))</f>
        <v>4</v>
      </c>
      <c r="D430">
        <v>101.9</v>
      </c>
      <c r="E430" s="1">
        <f>INDEX(T_Avg_PPG,MATCH($A430,T_Names,0))</f>
        <v>7.2785714285714294</v>
      </c>
      <c r="F430">
        <f>1+COUNTIFS(T_Total,"&gt;"&amp;D430,T_Pos,$B430)</f>
        <v>61</v>
      </c>
      <c r="G430">
        <f>1+COUNTIFS(T_Avg_PPG,"&gt;"&amp;E430,T_Pos,$B430)</f>
        <v>77</v>
      </c>
      <c r="H430">
        <f>_xlfn.IFNA(VLOOKUP($A430,PredictionTable,MATCH(H$1,Analysts,0),FALSE),60)</f>
        <v>60</v>
      </c>
      <c r="I430">
        <f>_xlfn.IFNA(VLOOKUP($A430,PredictionTable,MATCH(I$1,Analysts,0),FALSE),60)</f>
        <v>60</v>
      </c>
      <c r="J430">
        <f>_xlfn.IFNA(VLOOKUP($A430,PredictionTable,MATCH(J$1,Analysts,0),FALSE),60)</f>
        <v>60</v>
      </c>
      <c r="K430">
        <f>_xlfn.IFNA(VLOOKUP($A430,PredictionTable,MATCH(K$1,Analysts,0),FALSE),60)</f>
        <v>60</v>
      </c>
      <c r="L430">
        <f>_xlfn.IFNA(VLOOKUP($A430,PredictionTable,MATCH(L$1,Analysts,0),FALSE),60)</f>
        <v>60</v>
      </c>
      <c r="M430">
        <f>_xlfn.IFNA(VLOOKUP($A430,PredictionTable,MATCH(M$1,Analysts,0),FALSE),60)</f>
        <v>60</v>
      </c>
      <c r="N430">
        <f>_xlfn.IFNA(VLOOKUP($A430,PredictionTable,MATCH(N$1,Analysts,0),FALSE),60)</f>
        <v>60</v>
      </c>
      <c r="O430">
        <f>_xlfn.IFNA(VLOOKUP($A430,PredictionTable,MATCH(O$1,Analysts,0),FALSE),60)</f>
        <v>60</v>
      </c>
      <c r="P430">
        <f>_xlfn.IFNA(VLOOKUP($A430,PredictionTable,MATCH(P$1,Analysts,0),FALSE),60)</f>
        <v>60</v>
      </c>
      <c r="V430" s="7" t="s">
        <v>589</v>
      </c>
    </row>
    <row r="431" spans="1:22" x14ac:dyDescent="0.45">
      <c r="A431" s="1" t="s">
        <v>437</v>
      </c>
      <c r="B431" s="1" t="s">
        <v>343</v>
      </c>
      <c r="C431" s="1">
        <f>INDEX(T_Performances,MATCH($A431,T_Names,0))</f>
        <v>4</v>
      </c>
      <c r="D431">
        <v>101</v>
      </c>
      <c r="E431" s="1">
        <f>INDEX(T_Avg_PPG,MATCH($A431,T_Names,0))</f>
        <v>6.7333333333333334</v>
      </c>
      <c r="F431">
        <f>1+COUNTIFS(T_Total,"&gt;"&amp;D431,T_Pos,$B431)</f>
        <v>62</v>
      </c>
      <c r="G431">
        <f>1+COUNTIFS(T_Avg_PPG,"&gt;"&amp;E431,T_Pos,$B431)</f>
        <v>90</v>
      </c>
      <c r="H431">
        <f>_xlfn.IFNA(VLOOKUP($A431,PredictionTable,MATCH(H$1,Analysts,0),FALSE),60)</f>
        <v>60</v>
      </c>
      <c r="I431">
        <f>_xlfn.IFNA(VLOOKUP($A431,PredictionTable,MATCH(I$1,Analysts,0),FALSE),60)</f>
        <v>60</v>
      </c>
      <c r="J431">
        <f>_xlfn.IFNA(VLOOKUP($A431,PredictionTable,MATCH(J$1,Analysts,0),FALSE),60)</f>
        <v>60</v>
      </c>
      <c r="K431">
        <f>_xlfn.IFNA(VLOOKUP($A431,PredictionTable,MATCH(K$1,Analysts,0),FALSE),60)</f>
        <v>60</v>
      </c>
      <c r="L431">
        <f>_xlfn.IFNA(VLOOKUP($A431,PredictionTable,MATCH(L$1,Analysts,0),FALSE),60)</f>
        <v>60</v>
      </c>
      <c r="M431">
        <f>_xlfn.IFNA(VLOOKUP($A431,PredictionTable,MATCH(M$1,Analysts,0),FALSE),60)</f>
        <v>60</v>
      </c>
      <c r="N431">
        <f>_xlfn.IFNA(VLOOKUP($A431,PredictionTable,MATCH(N$1,Analysts,0),FALSE),60)</f>
        <v>60</v>
      </c>
      <c r="O431">
        <f>_xlfn.IFNA(VLOOKUP($A431,PredictionTable,MATCH(O$1,Analysts,0),FALSE),60)</f>
        <v>60</v>
      </c>
      <c r="P431">
        <f>_xlfn.IFNA(VLOOKUP($A431,PredictionTable,MATCH(P$1,Analysts,0),FALSE),60)</f>
        <v>60</v>
      </c>
      <c r="V431" s="7" t="s">
        <v>589</v>
      </c>
    </row>
    <row r="432" spans="1:22" x14ac:dyDescent="0.45">
      <c r="A432" s="1" t="s">
        <v>438</v>
      </c>
      <c r="B432" s="1" t="s">
        <v>343</v>
      </c>
      <c r="C432" s="1">
        <f>INDEX(T_Performances,MATCH($A432,T_Names,0))</f>
        <v>3</v>
      </c>
      <c r="D432">
        <v>96.5</v>
      </c>
      <c r="E432" s="1">
        <f>INDEX(T_Avg_PPG,MATCH($A432,T_Names,0))</f>
        <v>6.03125</v>
      </c>
      <c r="F432">
        <f>1+COUNTIFS(T_Total,"&gt;"&amp;D432,T_Pos,$B432)</f>
        <v>68</v>
      </c>
      <c r="G432">
        <f>1+COUNTIFS(T_Avg_PPG,"&gt;"&amp;E432,T_Pos,$B432)</f>
        <v>100</v>
      </c>
      <c r="H432">
        <f>_xlfn.IFNA(VLOOKUP($A432,PredictionTable,MATCH(H$1,Analysts,0),FALSE),60)</f>
        <v>44</v>
      </c>
      <c r="I432">
        <f>_xlfn.IFNA(VLOOKUP($A432,PredictionTable,MATCH(I$1,Analysts,0),FALSE),60)</f>
        <v>50</v>
      </c>
      <c r="J432">
        <f>_xlfn.IFNA(VLOOKUP($A432,PredictionTable,MATCH(J$1,Analysts,0),FALSE),60)</f>
        <v>46</v>
      </c>
      <c r="K432">
        <f>_xlfn.IFNA(VLOOKUP($A432,PredictionTable,MATCH(K$1,Analysts,0),FALSE),60)</f>
        <v>48</v>
      </c>
      <c r="L432">
        <f>_xlfn.IFNA(VLOOKUP($A432,PredictionTable,MATCH(L$1,Analysts,0),FALSE),60)</f>
        <v>52</v>
      </c>
      <c r="M432">
        <f>_xlfn.IFNA(VLOOKUP($A432,PredictionTable,MATCH(M$1,Analysts,0),FALSE),60)</f>
        <v>42</v>
      </c>
      <c r="N432">
        <f>_xlfn.IFNA(VLOOKUP($A432,PredictionTable,MATCH(N$1,Analysts,0),FALSE),60)</f>
        <v>45</v>
      </c>
      <c r="O432">
        <f>_xlfn.IFNA(VLOOKUP($A432,PredictionTable,MATCH(O$1,Analysts,0),FALSE),60)</f>
        <v>48</v>
      </c>
      <c r="P432">
        <f>_xlfn.IFNA(VLOOKUP($A432,PredictionTable,MATCH(P$1,Analysts,0),FALSE),60)</f>
        <v>46.9</v>
      </c>
      <c r="V432" s="7" t="s">
        <v>589</v>
      </c>
    </row>
    <row r="433" spans="1:22" x14ac:dyDescent="0.45">
      <c r="A433" s="1" t="s">
        <v>439</v>
      </c>
      <c r="B433" s="1" t="s">
        <v>343</v>
      </c>
      <c r="C433" s="1">
        <f>INDEX(T_Performances,MATCH($A433,T_Names,0))</f>
        <v>2</v>
      </c>
      <c r="D433">
        <v>87.9</v>
      </c>
      <c r="E433" s="1">
        <f>INDEX(T_Avg_PPG,MATCH($A433,T_Names,0))</f>
        <v>5.86</v>
      </c>
      <c r="F433">
        <f>1+COUNTIFS(T_Total,"&gt;"&amp;D433,T_Pos,$B433)</f>
        <v>76</v>
      </c>
      <c r="G433">
        <f>1+COUNTIFS(T_Avg_PPG,"&gt;"&amp;E433,T_Pos,$B433)</f>
        <v>103</v>
      </c>
      <c r="H433">
        <f>_xlfn.IFNA(VLOOKUP($A433,PredictionTable,MATCH(H$1,Analysts,0),FALSE),60)</f>
        <v>60</v>
      </c>
      <c r="I433">
        <f>_xlfn.IFNA(VLOOKUP($A433,PredictionTable,MATCH(I$1,Analysts,0),FALSE),60)</f>
        <v>60</v>
      </c>
      <c r="J433">
        <f>_xlfn.IFNA(VLOOKUP($A433,PredictionTable,MATCH(J$1,Analysts,0),FALSE),60)</f>
        <v>60</v>
      </c>
      <c r="K433">
        <f>_xlfn.IFNA(VLOOKUP($A433,PredictionTable,MATCH(K$1,Analysts,0),FALSE),60)</f>
        <v>60</v>
      </c>
      <c r="L433">
        <f>_xlfn.IFNA(VLOOKUP($A433,PredictionTable,MATCH(L$1,Analysts,0),FALSE),60)</f>
        <v>60</v>
      </c>
      <c r="M433">
        <f>_xlfn.IFNA(VLOOKUP($A433,PredictionTable,MATCH(M$1,Analysts,0),FALSE),60)</f>
        <v>60</v>
      </c>
      <c r="N433">
        <f>_xlfn.IFNA(VLOOKUP($A433,PredictionTable,MATCH(N$1,Analysts,0),FALSE),60)</f>
        <v>60</v>
      </c>
      <c r="O433">
        <f>_xlfn.IFNA(VLOOKUP($A433,PredictionTable,MATCH(O$1,Analysts,0),FALSE),60)</f>
        <v>60</v>
      </c>
      <c r="P433">
        <f>_xlfn.IFNA(VLOOKUP($A433,PredictionTable,MATCH(P$1,Analysts,0),FALSE),60)</f>
        <v>60</v>
      </c>
      <c r="V433" s="7" t="s">
        <v>589</v>
      </c>
    </row>
    <row r="434" spans="1:22" x14ac:dyDescent="0.45">
      <c r="A434" s="1" t="s">
        <v>440</v>
      </c>
      <c r="B434" s="1" t="s">
        <v>343</v>
      </c>
      <c r="C434" s="1">
        <f>INDEX(T_Performances,MATCH($A434,T_Names,0))</f>
        <v>3</v>
      </c>
      <c r="D434">
        <v>86</v>
      </c>
      <c r="E434" s="1">
        <f>INDEX(T_Avg_PPG,MATCH($A434,T_Names,0))</f>
        <v>7.166666666666667</v>
      </c>
      <c r="F434">
        <f>1+COUNTIFS(T_Total,"&gt;"&amp;D434,T_Pos,$B434)</f>
        <v>77</v>
      </c>
      <c r="G434">
        <f>1+COUNTIFS(T_Avg_PPG,"&gt;"&amp;E434,T_Pos,$B434)</f>
        <v>81</v>
      </c>
      <c r="H434">
        <f>_xlfn.IFNA(VLOOKUP($A434,PredictionTable,MATCH(H$1,Analysts,0),FALSE),60)</f>
        <v>60</v>
      </c>
      <c r="I434">
        <f>_xlfn.IFNA(VLOOKUP($A434,PredictionTable,MATCH(I$1,Analysts,0),FALSE),60)</f>
        <v>60</v>
      </c>
      <c r="J434">
        <f>_xlfn.IFNA(VLOOKUP($A434,PredictionTable,MATCH(J$1,Analysts,0),FALSE),60)</f>
        <v>60</v>
      </c>
      <c r="K434">
        <f>_xlfn.IFNA(VLOOKUP($A434,PredictionTable,MATCH(K$1,Analysts,0),FALSE),60)</f>
        <v>60</v>
      </c>
      <c r="L434">
        <f>_xlfn.IFNA(VLOOKUP($A434,PredictionTable,MATCH(L$1,Analysts,0),FALSE),60)</f>
        <v>60</v>
      </c>
      <c r="M434">
        <f>_xlfn.IFNA(VLOOKUP($A434,PredictionTable,MATCH(M$1,Analysts,0),FALSE),60)</f>
        <v>60</v>
      </c>
      <c r="N434">
        <f>_xlfn.IFNA(VLOOKUP($A434,PredictionTable,MATCH(N$1,Analysts,0),FALSE),60)</f>
        <v>60</v>
      </c>
      <c r="O434">
        <f>_xlfn.IFNA(VLOOKUP($A434,PredictionTable,MATCH(O$1,Analysts,0),FALSE),60)</f>
        <v>60</v>
      </c>
      <c r="P434">
        <f>_xlfn.IFNA(VLOOKUP($A434,PredictionTable,MATCH(P$1,Analysts,0),FALSE),60)</f>
        <v>60</v>
      </c>
      <c r="V434" s="7" t="s">
        <v>589</v>
      </c>
    </row>
    <row r="435" spans="1:22" x14ac:dyDescent="0.45">
      <c r="A435" s="1" t="s">
        <v>441</v>
      </c>
      <c r="B435" s="1" t="s">
        <v>343</v>
      </c>
      <c r="C435" s="1">
        <f>INDEX(T_Performances,MATCH($A435,T_Names,0))</f>
        <v>3</v>
      </c>
      <c r="D435">
        <v>83.3</v>
      </c>
      <c r="E435" s="1">
        <f>INDEX(T_Avg_PPG,MATCH($A435,T_Names,0))</f>
        <v>6.4076923076923071</v>
      </c>
      <c r="F435">
        <f>1+COUNTIFS(T_Total,"&gt;"&amp;D435,T_Pos,$B435)</f>
        <v>78</v>
      </c>
      <c r="G435">
        <f>1+COUNTIFS(T_Avg_PPG,"&gt;"&amp;E435,T_Pos,$B435)</f>
        <v>97</v>
      </c>
      <c r="H435">
        <f>_xlfn.IFNA(VLOOKUP($A435,PredictionTable,MATCH(H$1,Analysts,0),FALSE),60)</f>
        <v>60</v>
      </c>
      <c r="I435">
        <f>_xlfn.IFNA(VLOOKUP($A435,PredictionTable,MATCH(I$1,Analysts,0),FALSE),60)</f>
        <v>60</v>
      </c>
      <c r="J435">
        <f>_xlfn.IFNA(VLOOKUP($A435,PredictionTable,MATCH(J$1,Analysts,0),FALSE),60)</f>
        <v>60</v>
      </c>
      <c r="K435">
        <f>_xlfn.IFNA(VLOOKUP($A435,PredictionTable,MATCH(K$1,Analysts,0),FALSE),60)</f>
        <v>60</v>
      </c>
      <c r="L435">
        <f>_xlfn.IFNA(VLOOKUP($A435,PredictionTable,MATCH(L$1,Analysts,0),FALSE),60)</f>
        <v>60</v>
      </c>
      <c r="M435">
        <f>_xlfn.IFNA(VLOOKUP($A435,PredictionTable,MATCH(M$1,Analysts,0),FALSE),60)</f>
        <v>60</v>
      </c>
      <c r="N435">
        <f>_xlfn.IFNA(VLOOKUP($A435,PredictionTable,MATCH(N$1,Analysts,0),FALSE),60)</f>
        <v>60</v>
      </c>
      <c r="O435">
        <f>_xlfn.IFNA(VLOOKUP($A435,PredictionTable,MATCH(O$1,Analysts,0),FALSE),60)</f>
        <v>60</v>
      </c>
      <c r="P435">
        <f>_xlfn.IFNA(VLOOKUP($A435,PredictionTable,MATCH(P$1,Analysts,0),FALSE),60)</f>
        <v>60</v>
      </c>
      <c r="V435" s="7" t="s">
        <v>589</v>
      </c>
    </row>
    <row r="436" spans="1:22" x14ac:dyDescent="0.45">
      <c r="A436" s="1" t="s">
        <v>442</v>
      </c>
      <c r="B436" s="1" t="s">
        <v>343</v>
      </c>
      <c r="C436" s="1">
        <f>INDEX(T_Performances,MATCH($A436,T_Names,0))</f>
        <v>2</v>
      </c>
      <c r="D436">
        <v>77.900000000000006</v>
      </c>
      <c r="E436" s="1">
        <f>INDEX(T_Avg_PPG,MATCH($A436,T_Names,0))</f>
        <v>5.1933333333333334</v>
      </c>
      <c r="F436">
        <f>1+COUNTIFS(T_Total,"&gt;"&amp;D436,T_Pos,$B436)</f>
        <v>80</v>
      </c>
      <c r="G436">
        <f>1+COUNTIFS(T_Avg_PPG,"&gt;"&amp;E436,T_Pos,$B436)</f>
        <v>117</v>
      </c>
      <c r="H436">
        <f>_xlfn.IFNA(VLOOKUP($A436,PredictionTable,MATCH(H$1,Analysts,0),FALSE),60)</f>
        <v>60</v>
      </c>
      <c r="I436">
        <f>_xlfn.IFNA(VLOOKUP($A436,PredictionTable,MATCH(I$1,Analysts,0),FALSE),60)</f>
        <v>60</v>
      </c>
      <c r="J436">
        <f>_xlfn.IFNA(VLOOKUP($A436,PredictionTable,MATCH(J$1,Analysts,0),FALSE),60)</f>
        <v>60</v>
      </c>
      <c r="K436">
        <f>_xlfn.IFNA(VLOOKUP($A436,PredictionTable,MATCH(K$1,Analysts,0),FALSE),60)</f>
        <v>60</v>
      </c>
      <c r="L436">
        <f>_xlfn.IFNA(VLOOKUP($A436,PredictionTable,MATCH(L$1,Analysts,0),FALSE),60)</f>
        <v>60</v>
      </c>
      <c r="M436">
        <f>_xlfn.IFNA(VLOOKUP($A436,PredictionTable,MATCH(M$1,Analysts,0),FALSE),60)</f>
        <v>60</v>
      </c>
      <c r="N436">
        <f>_xlfn.IFNA(VLOOKUP($A436,PredictionTable,MATCH(N$1,Analysts,0),FALSE),60)</f>
        <v>60</v>
      </c>
      <c r="O436">
        <f>_xlfn.IFNA(VLOOKUP($A436,PredictionTable,MATCH(O$1,Analysts,0),FALSE),60)</f>
        <v>60</v>
      </c>
      <c r="P436">
        <f>_xlfn.IFNA(VLOOKUP($A436,PredictionTable,MATCH(P$1,Analysts,0),FALSE),60)</f>
        <v>60</v>
      </c>
      <c r="V436" s="7" t="s">
        <v>589</v>
      </c>
    </row>
    <row r="437" spans="1:22" x14ac:dyDescent="0.45">
      <c r="A437" s="1" t="s">
        <v>443</v>
      </c>
      <c r="B437" s="1" t="s">
        <v>343</v>
      </c>
      <c r="C437" s="1">
        <f>INDEX(T_Performances,MATCH($A437,T_Names,0))</f>
        <v>2</v>
      </c>
      <c r="D437">
        <v>68.8</v>
      </c>
      <c r="E437" s="1">
        <f>INDEX(T_Avg_PPG,MATCH($A437,T_Names,0))</f>
        <v>6.88</v>
      </c>
      <c r="F437">
        <f>1+COUNTIFS(T_Total,"&gt;"&amp;D437,T_Pos,$B437)</f>
        <v>89</v>
      </c>
      <c r="G437">
        <f>1+COUNTIFS(T_Avg_PPG,"&gt;"&amp;E437,T_Pos,$B437)</f>
        <v>87</v>
      </c>
      <c r="H437">
        <f>_xlfn.IFNA(VLOOKUP($A437,PredictionTable,MATCH(H$1,Analysts,0),FALSE),60)</f>
        <v>60</v>
      </c>
      <c r="I437">
        <f>_xlfn.IFNA(VLOOKUP($A437,PredictionTable,MATCH(I$1,Analysts,0),FALSE),60)</f>
        <v>60</v>
      </c>
      <c r="J437">
        <f>_xlfn.IFNA(VLOOKUP($A437,PredictionTable,MATCH(J$1,Analysts,0),FALSE),60)</f>
        <v>60</v>
      </c>
      <c r="K437">
        <f>_xlfn.IFNA(VLOOKUP($A437,PredictionTable,MATCH(K$1,Analysts,0),FALSE),60)</f>
        <v>60</v>
      </c>
      <c r="L437">
        <f>_xlfn.IFNA(VLOOKUP($A437,PredictionTable,MATCH(L$1,Analysts,0),FALSE),60)</f>
        <v>60</v>
      </c>
      <c r="M437">
        <f>_xlfn.IFNA(VLOOKUP($A437,PredictionTable,MATCH(M$1,Analysts,0),FALSE),60)</f>
        <v>60</v>
      </c>
      <c r="N437">
        <f>_xlfn.IFNA(VLOOKUP($A437,PredictionTable,MATCH(N$1,Analysts,0),FALSE),60)</f>
        <v>60</v>
      </c>
      <c r="O437">
        <f>_xlfn.IFNA(VLOOKUP($A437,PredictionTable,MATCH(O$1,Analysts,0),FALSE),60)</f>
        <v>60</v>
      </c>
      <c r="P437">
        <f>_xlfn.IFNA(VLOOKUP($A437,PredictionTable,MATCH(P$1,Analysts,0),FALSE),60)</f>
        <v>60</v>
      </c>
      <c r="V437" s="7" t="s">
        <v>589</v>
      </c>
    </row>
    <row r="438" spans="1:22" x14ac:dyDescent="0.45">
      <c r="A438" s="1" t="s">
        <v>444</v>
      </c>
      <c r="B438" s="1" t="s">
        <v>343</v>
      </c>
      <c r="C438" s="1">
        <f>INDEX(T_Performances,MATCH($A438,T_Names,0))</f>
        <v>0</v>
      </c>
      <c r="D438">
        <v>64.3</v>
      </c>
      <c r="E438" s="1">
        <f>INDEX(T_Avg_PPG,MATCH($A438,T_Names,0))</f>
        <v>4.9461538461538463</v>
      </c>
      <c r="F438">
        <f>1+COUNTIFS(T_Total,"&gt;"&amp;D438,T_Pos,$B438)</f>
        <v>91</v>
      </c>
      <c r="G438">
        <f>1+COUNTIFS(T_Avg_PPG,"&gt;"&amp;E438,T_Pos,$B438)</f>
        <v>121</v>
      </c>
      <c r="H438">
        <f>_xlfn.IFNA(VLOOKUP($A438,PredictionTable,MATCH(H$1,Analysts,0),FALSE),60)</f>
        <v>60</v>
      </c>
      <c r="I438">
        <f>_xlfn.IFNA(VLOOKUP($A438,PredictionTable,MATCH(I$1,Analysts,0),FALSE),60)</f>
        <v>60</v>
      </c>
      <c r="J438">
        <f>_xlfn.IFNA(VLOOKUP($A438,PredictionTable,MATCH(J$1,Analysts,0),FALSE),60)</f>
        <v>60</v>
      </c>
      <c r="K438">
        <f>_xlfn.IFNA(VLOOKUP($A438,PredictionTable,MATCH(K$1,Analysts,0),FALSE),60)</f>
        <v>60</v>
      </c>
      <c r="L438">
        <f>_xlfn.IFNA(VLOOKUP($A438,PredictionTable,MATCH(L$1,Analysts,0),FALSE),60)</f>
        <v>60</v>
      </c>
      <c r="M438">
        <f>_xlfn.IFNA(VLOOKUP($A438,PredictionTable,MATCH(M$1,Analysts,0),FALSE),60)</f>
        <v>60</v>
      </c>
      <c r="N438">
        <f>_xlfn.IFNA(VLOOKUP($A438,PredictionTable,MATCH(N$1,Analysts,0),FALSE),60)</f>
        <v>60</v>
      </c>
      <c r="O438">
        <f>_xlfn.IFNA(VLOOKUP($A438,PredictionTable,MATCH(O$1,Analysts,0),FALSE),60)</f>
        <v>60</v>
      </c>
      <c r="P438">
        <f>_xlfn.IFNA(VLOOKUP($A438,PredictionTable,MATCH(P$1,Analysts,0),FALSE),60)</f>
        <v>60</v>
      </c>
      <c r="V438" s="7" t="s">
        <v>589</v>
      </c>
    </row>
    <row r="439" spans="1:22" x14ac:dyDescent="0.45">
      <c r="A439" s="1" t="s">
        <v>445</v>
      </c>
      <c r="B439" s="1" t="s">
        <v>343</v>
      </c>
      <c r="C439" s="1">
        <f>INDEX(T_Performances,MATCH($A439,T_Names,0))</f>
        <v>0</v>
      </c>
      <c r="D439">
        <v>58.8</v>
      </c>
      <c r="E439" s="1">
        <f>INDEX(T_Avg_PPG,MATCH($A439,T_Names,0))</f>
        <v>4.2</v>
      </c>
      <c r="F439">
        <f>1+COUNTIFS(T_Total,"&gt;"&amp;D439,T_Pos,$B439)</f>
        <v>94</v>
      </c>
      <c r="G439">
        <f>1+COUNTIFS(T_Avg_PPG,"&gt;"&amp;E439,T_Pos,$B439)</f>
        <v>140</v>
      </c>
      <c r="H439">
        <f>_xlfn.IFNA(VLOOKUP($A439,PredictionTable,MATCH(H$1,Analysts,0),FALSE),60)</f>
        <v>60</v>
      </c>
      <c r="I439">
        <f>_xlfn.IFNA(VLOOKUP($A439,PredictionTable,MATCH(I$1,Analysts,0),FALSE),60)</f>
        <v>60</v>
      </c>
      <c r="J439">
        <f>_xlfn.IFNA(VLOOKUP($A439,PredictionTable,MATCH(J$1,Analysts,0),FALSE),60)</f>
        <v>60</v>
      </c>
      <c r="K439">
        <f>_xlfn.IFNA(VLOOKUP($A439,PredictionTable,MATCH(K$1,Analysts,0),FALSE),60)</f>
        <v>60</v>
      </c>
      <c r="L439">
        <f>_xlfn.IFNA(VLOOKUP($A439,PredictionTable,MATCH(L$1,Analysts,0),FALSE),60)</f>
        <v>60</v>
      </c>
      <c r="M439">
        <f>_xlfn.IFNA(VLOOKUP($A439,PredictionTable,MATCH(M$1,Analysts,0),FALSE),60)</f>
        <v>60</v>
      </c>
      <c r="N439">
        <f>_xlfn.IFNA(VLOOKUP($A439,PredictionTable,MATCH(N$1,Analysts,0),FALSE),60)</f>
        <v>60</v>
      </c>
      <c r="O439">
        <f>_xlfn.IFNA(VLOOKUP($A439,PredictionTable,MATCH(O$1,Analysts,0),FALSE),60)</f>
        <v>60</v>
      </c>
      <c r="P439">
        <f>_xlfn.IFNA(VLOOKUP($A439,PredictionTable,MATCH(P$1,Analysts,0),FALSE),60)</f>
        <v>60</v>
      </c>
      <c r="V439" s="7" t="s">
        <v>589</v>
      </c>
    </row>
    <row r="440" spans="1:22" x14ac:dyDescent="0.45">
      <c r="A440" s="1" t="s">
        <v>446</v>
      </c>
      <c r="B440" s="1" t="s">
        <v>343</v>
      </c>
      <c r="C440" s="1">
        <f>INDEX(T_Performances,MATCH($A440,T_Names,0))</f>
        <v>1</v>
      </c>
      <c r="D440">
        <v>53.1</v>
      </c>
      <c r="E440" s="1">
        <f>INDEX(T_Avg_PPG,MATCH($A440,T_Names,0))</f>
        <v>4.0846153846153843</v>
      </c>
      <c r="F440">
        <f>1+COUNTIFS(T_Total,"&gt;"&amp;D440,T_Pos,$B440)</f>
        <v>97</v>
      </c>
      <c r="G440">
        <f>1+COUNTIFS(T_Avg_PPG,"&gt;"&amp;E440,T_Pos,$B440)</f>
        <v>146</v>
      </c>
      <c r="H440">
        <f>_xlfn.IFNA(VLOOKUP($A440,PredictionTable,MATCH(H$1,Analysts,0),FALSE),60)</f>
        <v>60</v>
      </c>
      <c r="I440">
        <f>_xlfn.IFNA(VLOOKUP($A440,PredictionTable,MATCH(I$1,Analysts,0),FALSE),60)</f>
        <v>60</v>
      </c>
      <c r="J440">
        <f>_xlfn.IFNA(VLOOKUP($A440,PredictionTable,MATCH(J$1,Analysts,0),FALSE),60)</f>
        <v>60</v>
      </c>
      <c r="K440">
        <f>_xlfn.IFNA(VLOOKUP($A440,PredictionTable,MATCH(K$1,Analysts,0),FALSE),60)</f>
        <v>60</v>
      </c>
      <c r="L440">
        <f>_xlfn.IFNA(VLOOKUP($A440,PredictionTable,MATCH(L$1,Analysts,0),FALSE),60)</f>
        <v>60</v>
      </c>
      <c r="M440">
        <f>_xlfn.IFNA(VLOOKUP($A440,PredictionTable,MATCH(M$1,Analysts,0),FALSE),60)</f>
        <v>60</v>
      </c>
      <c r="N440">
        <f>_xlfn.IFNA(VLOOKUP($A440,PredictionTable,MATCH(N$1,Analysts,0),FALSE),60)</f>
        <v>60</v>
      </c>
      <c r="O440">
        <f>_xlfn.IFNA(VLOOKUP($A440,PredictionTable,MATCH(O$1,Analysts,0),FALSE),60)</f>
        <v>60</v>
      </c>
      <c r="P440">
        <f>_xlfn.IFNA(VLOOKUP($A440,PredictionTable,MATCH(P$1,Analysts,0),FALSE),60)</f>
        <v>60</v>
      </c>
      <c r="V440" s="7" t="s">
        <v>589</v>
      </c>
    </row>
    <row r="441" spans="1:22" x14ac:dyDescent="0.45">
      <c r="A441" s="1" t="s">
        <v>447</v>
      </c>
      <c r="B441" s="1" t="s">
        <v>343</v>
      </c>
      <c r="C441" s="1">
        <f>INDEX(T_Performances,MATCH($A441,T_Names,0))</f>
        <v>1</v>
      </c>
      <c r="D441">
        <v>52.4</v>
      </c>
      <c r="E441" s="1">
        <f>INDEX(T_Avg_PPG,MATCH($A441,T_Names,0))</f>
        <v>4.3666666666666663</v>
      </c>
      <c r="F441">
        <f>1+COUNTIFS(T_Total,"&gt;"&amp;D441,T_Pos,$B441)</f>
        <v>99</v>
      </c>
      <c r="G441">
        <f>1+COUNTIFS(T_Avg_PPG,"&gt;"&amp;E441,T_Pos,$B441)</f>
        <v>134</v>
      </c>
      <c r="H441">
        <f>_xlfn.IFNA(VLOOKUP($A441,PredictionTable,MATCH(H$1,Analysts,0),FALSE),60)</f>
        <v>60</v>
      </c>
      <c r="I441">
        <f>_xlfn.IFNA(VLOOKUP($A441,PredictionTable,MATCH(I$1,Analysts,0),FALSE),60)</f>
        <v>60</v>
      </c>
      <c r="J441">
        <f>_xlfn.IFNA(VLOOKUP($A441,PredictionTable,MATCH(J$1,Analysts,0),FALSE),60)</f>
        <v>60</v>
      </c>
      <c r="K441">
        <f>_xlfn.IFNA(VLOOKUP($A441,PredictionTable,MATCH(K$1,Analysts,0),FALSE),60)</f>
        <v>60</v>
      </c>
      <c r="L441">
        <f>_xlfn.IFNA(VLOOKUP($A441,PredictionTable,MATCH(L$1,Analysts,0),FALSE),60)</f>
        <v>60</v>
      </c>
      <c r="M441">
        <f>_xlfn.IFNA(VLOOKUP($A441,PredictionTable,MATCH(M$1,Analysts,0),FALSE),60)</f>
        <v>60</v>
      </c>
      <c r="N441">
        <f>_xlfn.IFNA(VLOOKUP($A441,PredictionTable,MATCH(N$1,Analysts,0),FALSE),60)</f>
        <v>60</v>
      </c>
      <c r="O441">
        <f>_xlfn.IFNA(VLOOKUP($A441,PredictionTable,MATCH(O$1,Analysts,0),FALSE),60)</f>
        <v>60</v>
      </c>
      <c r="P441">
        <f>_xlfn.IFNA(VLOOKUP($A441,PredictionTable,MATCH(P$1,Analysts,0),FALSE),60)</f>
        <v>60</v>
      </c>
      <c r="V441" s="7" t="s">
        <v>589</v>
      </c>
    </row>
    <row r="442" spans="1:22" x14ac:dyDescent="0.45">
      <c r="A442" s="1" t="s">
        <v>448</v>
      </c>
      <c r="B442" s="1" t="s">
        <v>343</v>
      </c>
      <c r="C442" s="1">
        <f>INDEX(T_Performances,MATCH($A442,T_Names,0))</f>
        <v>1</v>
      </c>
      <c r="D442">
        <v>51.9</v>
      </c>
      <c r="E442" s="1">
        <f>INDEX(T_Avg_PPG,MATCH($A442,T_Names,0))</f>
        <v>4.3250000000000002</v>
      </c>
      <c r="F442">
        <f>1+COUNTIFS(T_Total,"&gt;"&amp;D442,T_Pos,$B442)</f>
        <v>100</v>
      </c>
      <c r="G442">
        <f>1+COUNTIFS(T_Avg_PPG,"&gt;"&amp;E442,T_Pos,$B442)</f>
        <v>137</v>
      </c>
      <c r="H442">
        <f>_xlfn.IFNA(VLOOKUP($A442,PredictionTable,MATCH(H$1,Analysts,0),FALSE),60)</f>
        <v>60</v>
      </c>
      <c r="I442">
        <f>_xlfn.IFNA(VLOOKUP($A442,PredictionTable,MATCH(I$1,Analysts,0),FALSE),60)</f>
        <v>60</v>
      </c>
      <c r="J442">
        <f>_xlfn.IFNA(VLOOKUP($A442,PredictionTable,MATCH(J$1,Analysts,0),FALSE),60)</f>
        <v>60</v>
      </c>
      <c r="K442">
        <f>_xlfn.IFNA(VLOOKUP($A442,PredictionTable,MATCH(K$1,Analysts,0),FALSE),60)</f>
        <v>60</v>
      </c>
      <c r="L442">
        <f>_xlfn.IFNA(VLOOKUP($A442,PredictionTable,MATCH(L$1,Analysts,0),FALSE),60)</f>
        <v>60</v>
      </c>
      <c r="M442">
        <f>_xlfn.IFNA(VLOOKUP($A442,PredictionTable,MATCH(M$1,Analysts,0),FALSE),60)</f>
        <v>60</v>
      </c>
      <c r="N442">
        <f>_xlfn.IFNA(VLOOKUP($A442,PredictionTable,MATCH(N$1,Analysts,0),FALSE),60)</f>
        <v>60</v>
      </c>
      <c r="O442">
        <f>_xlfn.IFNA(VLOOKUP($A442,PredictionTable,MATCH(O$1,Analysts,0),FALSE),60)</f>
        <v>60</v>
      </c>
      <c r="P442">
        <f>_xlfn.IFNA(VLOOKUP($A442,PredictionTable,MATCH(P$1,Analysts,0),FALSE),60)</f>
        <v>60</v>
      </c>
      <c r="V442" s="7" t="s">
        <v>589</v>
      </c>
    </row>
    <row r="443" spans="1:22" x14ac:dyDescent="0.45">
      <c r="A443" s="1" t="s">
        <v>449</v>
      </c>
      <c r="B443" s="1" t="s">
        <v>343</v>
      </c>
      <c r="C443" s="1">
        <f>INDEX(T_Performances,MATCH($A443,T_Names,0))</f>
        <v>0</v>
      </c>
      <c r="D443">
        <v>51.6</v>
      </c>
      <c r="E443" s="1">
        <f>INDEX(T_Avg_PPG,MATCH($A443,T_Names,0))</f>
        <v>5.16</v>
      </c>
      <c r="F443">
        <f>1+COUNTIFS(T_Total,"&gt;"&amp;D443,T_Pos,$B443)</f>
        <v>101</v>
      </c>
      <c r="G443">
        <f>1+COUNTIFS(T_Avg_PPG,"&gt;"&amp;E443,T_Pos,$B443)</f>
        <v>118</v>
      </c>
      <c r="H443">
        <f>_xlfn.IFNA(VLOOKUP($A443,PredictionTable,MATCH(H$1,Analysts,0),FALSE),60)</f>
        <v>60</v>
      </c>
      <c r="I443">
        <f>_xlfn.IFNA(VLOOKUP($A443,PredictionTable,MATCH(I$1,Analysts,0),FALSE),60)</f>
        <v>60</v>
      </c>
      <c r="J443">
        <f>_xlfn.IFNA(VLOOKUP($A443,PredictionTable,MATCH(J$1,Analysts,0),FALSE),60)</f>
        <v>60</v>
      </c>
      <c r="K443">
        <f>_xlfn.IFNA(VLOOKUP($A443,PredictionTable,MATCH(K$1,Analysts,0),FALSE),60)</f>
        <v>60</v>
      </c>
      <c r="L443">
        <f>_xlfn.IFNA(VLOOKUP($A443,PredictionTable,MATCH(L$1,Analysts,0),FALSE),60)</f>
        <v>60</v>
      </c>
      <c r="M443">
        <f>_xlfn.IFNA(VLOOKUP($A443,PredictionTable,MATCH(M$1,Analysts,0),FALSE),60)</f>
        <v>60</v>
      </c>
      <c r="N443">
        <f>_xlfn.IFNA(VLOOKUP($A443,PredictionTable,MATCH(N$1,Analysts,0),FALSE),60)</f>
        <v>60</v>
      </c>
      <c r="O443">
        <f>_xlfn.IFNA(VLOOKUP($A443,PredictionTable,MATCH(O$1,Analysts,0),FALSE),60)</f>
        <v>60</v>
      </c>
      <c r="P443">
        <f>_xlfn.IFNA(VLOOKUP($A443,PredictionTable,MATCH(P$1,Analysts,0),FALSE),60)</f>
        <v>60</v>
      </c>
      <c r="V443" s="7" t="s">
        <v>589</v>
      </c>
    </row>
    <row r="444" spans="1:22" x14ac:dyDescent="0.45">
      <c r="A444" s="1" t="s">
        <v>450</v>
      </c>
      <c r="B444" s="1" t="s">
        <v>343</v>
      </c>
      <c r="C444" s="1">
        <f>INDEX(T_Performances,MATCH($A444,T_Names,0))</f>
        <v>1</v>
      </c>
      <c r="D444">
        <v>48.8</v>
      </c>
      <c r="E444" s="1">
        <f>INDEX(T_Avg_PPG,MATCH($A444,T_Names,0))</f>
        <v>4.4363636363636365</v>
      </c>
      <c r="F444">
        <f>1+COUNTIFS(T_Total,"&gt;"&amp;D444,T_Pos,$B444)</f>
        <v>104</v>
      </c>
      <c r="G444">
        <f>1+COUNTIFS(T_Avg_PPG,"&gt;"&amp;E444,T_Pos,$B444)</f>
        <v>132</v>
      </c>
      <c r="H444">
        <f>_xlfn.IFNA(VLOOKUP($A444,PredictionTable,MATCH(H$1,Analysts,0),FALSE),60)</f>
        <v>60</v>
      </c>
      <c r="I444">
        <f>_xlfn.IFNA(VLOOKUP($A444,PredictionTable,MATCH(I$1,Analysts,0),FALSE),60)</f>
        <v>60</v>
      </c>
      <c r="J444">
        <f>_xlfn.IFNA(VLOOKUP($A444,PredictionTable,MATCH(J$1,Analysts,0),FALSE),60)</f>
        <v>60</v>
      </c>
      <c r="K444">
        <f>_xlfn.IFNA(VLOOKUP($A444,PredictionTable,MATCH(K$1,Analysts,0),FALSE),60)</f>
        <v>60</v>
      </c>
      <c r="L444">
        <f>_xlfn.IFNA(VLOOKUP($A444,PredictionTable,MATCH(L$1,Analysts,0),FALSE),60)</f>
        <v>60</v>
      </c>
      <c r="M444">
        <f>_xlfn.IFNA(VLOOKUP($A444,PredictionTable,MATCH(M$1,Analysts,0),FALSE),60)</f>
        <v>60</v>
      </c>
      <c r="N444">
        <f>_xlfn.IFNA(VLOOKUP($A444,PredictionTable,MATCH(N$1,Analysts,0),FALSE),60)</f>
        <v>60</v>
      </c>
      <c r="O444">
        <f>_xlfn.IFNA(VLOOKUP($A444,PredictionTable,MATCH(O$1,Analysts,0),FALSE),60)</f>
        <v>60</v>
      </c>
      <c r="P444">
        <f>_xlfn.IFNA(VLOOKUP($A444,PredictionTable,MATCH(P$1,Analysts,0),FALSE),60)</f>
        <v>60</v>
      </c>
      <c r="V444" s="7" t="s">
        <v>589</v>
      </c>
    </row>
    <row r="445" spans="1:22" x14ac:dyDescent="0.45">
      <c r="A445" s="1" t="s">
        <v>451</v>
      </c>
      <c r="B445" s="1" t="s">
        <v>343</v>
      </c>
      <c r="C445" s="1">
        <f>INDEX(T_Performances,MATCH($A445,T_Names,0))</f>
        <v>1</v>
      </c>
      <c r="D445">
        <v>48.2</v>
      </c>
      <c r="E445" s="1">
        <f>INDEX(T_Avg_PPG,MATCH($A445,T_Names,0))</f>
        <v>6.0250000000000004</v>
      </c>
      <c r="F445">
        <f>1+COUNTIFS(T_Total,"&gt;"&amp;D445,T_Pos,$B445)</f>
        <v>105</v>
      </c>
      <c r="G445">
        <f>1+COUNTIFS(T_Avg_PPG,"&gt;"&amp;E445,T_Pos,$B445)</f>
        <v>101</v>
      </c>
      <c r="H445">
        <f>_xlfn.IFNA(VLOOKUP($A445,PredictionTable,MATCH(H$1,Analysts,0),FALSE),60)</f>
        <v>55</v>
      </c>
      <c r="I445">
        <f>_xlfn.IFNA(VLOOKUP($A445,PredictionTable,MATCH(I$1,Analysts,0),FALSE),60)</f>
        <v>56</v>
      </c>
      <c r="J445">
        <f>_xlfn.IFNA(VLOOKUP($A445,PredictionTable,MATCH(J$1,Analysts,0),FALSE),60)</f>
        <v>50</v>
      </c>
      <c r="K445">
        <f>_xlfn.IFNA(VLOOKUP($A445,PredictionTable,MATCH(K$1,Analysts,0),FALSE),60)</f>
        <v>55</v>
      </c>
      <c r="L445">
        <f>_xlfn.IFNA(VLOOKUP($A445,PredictionTable,MATCH(L$1,Analysts,0),FALSE),60)</f>
        <v>58</v>
      </c>
      <c r="M445">
        <f>_xlfn.IFNA(VLOOKUP($A445,PredictionTable,MATCH(M$1,Analysts,0),FALSE),60)</f>
        <v>57</v>
      </c>
      <c r="N445">
        <f>_xlfn.IFNA(VLOOKUP($A445,PredictionTable,MATCH(N$1,Analysts,0),FALSE),60)</f>
        <v>47</v>
      </c>
      <c r="O445">
        <f>_xlfn.IFNA(VLOOKUP($A445,PredictionTable,MATCH(O$1,Analysts,0),FALSE),60)</f>
        <v>55</v>
      </c>
      <c r="P445">
        <f>_xlfn.IFNA(VLOOKUP($A445,PredictionTable,MATCH(P$1,Analysts,0),FALSE),60)</f>
        <v>54.1</v>
      </c>
      <c r="V445" s="7" t="s">
        <v>589</v>
      </c>
    </row>
    <row r="446" spans="1:22" x14ac:dyDescent="0.45">
      <c r="A446" s="1" t="s">
        <v>452</v>
      </c>
      <c r="B446" s="1" t="s">
        <v>343</v>
      </c>
      <c r="C446" s="1">
        <f>INDEX(T_Performances,MATCH($A446,T_Names,0))</f>
        <v>2</v>
      </c>
      <c r="D446">
        <v>48.1</v>
      </c>
      <c r="E446" s="1">
        <f>INDEX(T_Avg_PPG,MATCH($A446,T_Names,0))</f>
        <v>5.344444444444445</v>
      </c>
      <c r="F446">
        <f>1+COUNTIFS(T_Total,"&gt;"&amp;D446,T_Pos,$B446)</f>
        <v>106</v>
      </c>
      <c r="G446">
        <f>1+COUNTIFS(T_Avg_PPG,"&gt;"&amp;E446,T_Pos,$B446)</f>
        <v>111</v>
      </c>
      <c r="H446">
        <f>_xlfn.IFNA(VLOOKUP($A446,PredictionTable,MATCH(H$1,Analysts,0),FALSE),60)</f>
        <v>60</v>
      </c>
      <c r="I446">
        <f>_xlfn.IFNA(VLOOKUP($A446,PredictionTable,MATCH(I$1,Analysts,0),FALSE),60)</f>
        <v>60</v>
      </c>
      <c r="J446">
        <f>_xlfn.IFNA(VLOOKUP($A446,PredictionTable,MATCH(J$1,Analysts,0),FALSE),60)</f>
        <v>60</v>
      </c>
      <c r="K446">
        <f>_xlfn.IFNA(VLOOKUP($A446,PredictionTable,MATCH(K$1,Analysts,0),FALSE),60)</f>
        <v>60</v>
      </c>
      <c r="L446">
        <f>_xlfn.IFNA(VLOOKUP($A446,PredictionTable,MATCH(L$1,Analysts,0),FALSE),60)</f>
        <v>60</v>
      </c>
      <c r="M446">
        <f>_xlfn.IFNA(VLOOKUP($A446,PredictionTable,MATCH(M$1,Analysts,0),FALSE),60)</f>
        <v>60</v>
      </c>
      <c r="N446">
        <f>_xlfn.IFNA(VLOOKUP($A446,PredictionTable,MATCH(N$1,Analysts,0),FALSE),60)</f>
        <v>60</v>
      </c>
      <c r="O446">
        <f>_xlfn.IFNA(VLOOKUP($A446,PredictionTable,MATCH(O$1,Analysts,0),FALSE),60)</f>
        <v>60</v>
      </c>
      <c r="P446">
        <f>_xlfn.IFNA(VLOOKUP($A446,PredictionTable,MATCH(P$1,Analysts,0),FALSE),60)</f>
        <v>60</v>
      </c>
      <c r="V446" s="7" t="s">
        <v>589</v>
      </c>
    </row>
    <row r="447" spans="1:22" x14ac:dyDescent="0.45">
      <c r="A447" s="1" t="s">
        <v>453</v>
      </c>
      <c r="B447" s="1" t="s">
        <v>343</v>
      </c>
      <c r="C447" s="1">
        <f>INDEX(T_Performances,MATCH($A447,T_Names,0))</f>
        <v>0</v>
      </c>
      <c r="D447">
        <v>46.3</v>
      </c>
      <c r="E447" s="1">
        <f>INDEX(T_Avg_PPG,MATCH($A447,T_Names,0))</f>
        <v>4.209090909090909</v>
      </c>
      <c r="F447">
        <f>1+COUNTIFS(T_Total,"&gt;"&amp;D447,T_Pos,$B447)</f>
        <v>107</v>
      </c>
      <c r="G447">
        <f>1+COUNTIFS(T_Avg_PPG,"&gt;"&amp;E447,T_Pos,$B447)</f>
        <v>139</v>
      </c>
      <c r="H447">
        <f>_xlfn.IFNA(VLOOKUP($A447,PredictionTable,MATCH(H$1,Analysts,0),FALSE),60)</f>
        <v>48</v>
      </c>
      <c r="I447">
        <f>_xlfn.IFNA(VLOOKUP($A447,PredictionTable,MATCH(I$1,Analysts,0),FALSE),60)</f>
        <v>48</v>
      </c>
      <c r="J447">
        <f>_xlfn.IFNA(VLOOKUP($A447,PredictionTable,MATCH(J$1,Analysts,0),FALSE),60)</f>
        <v>55</v>
      </c>
      <c r="K447">
        <f>_xlfn.IFNA(VLOOKUP($A447,PredictionTable,MATCH(K$1,Analysts,0),FALSE),60)</f>
        <v>49</v>
      </c>
      <c r="L447">
        <f>_xlfn.IFNA(VLOOKUP($A447,PredictionTable,MATCH(L$1,Analysts,0),FALSE),60)</f>
        <v>53</v>
      </c>
      <c r="M447">
        <f>_xlfn.IFNA(VLOOKUP($A447,PredictionTable,MATCH(M$1,Analysts,0),FALSE),60)</f>
        <v>45</v>
      </c>
      <c r="N447">
        <f>_xlfn.IFNA(VLOOKUP($A447,PredictionTable,MATCH(N$1,Analysts,0),FALSE),60)</f>
        <v>52</v>
      </c>
      <c r="O447">
        <f>_xlfn.IFNA(VLOOKUP($A447,PredictionTable,MATCH(O$1,Analysts,0),FALSE),60)</f>
        <v>43</v>
      </c>
      <c r="P447">
        <f>_xlfn.IFNA(VLOOKUP($A447,PredictionTable,MATCH(P$1,Analysts,0),FALSE),60)</f>
        <v>49.1</v>
      </c>
      <c r="V447" s="7" t="s">
        <v>589</v>
      </c>
    </row>
    <row r="448" spans="1:22" x14ac:dyDescent="0.45">
      <c r="A448" s="1" t="s">
        <v>454</v>
      </c>
      <c r="B448" s="1" t="s">
        <v>343</v>
      </c>
      <c r="C448" s="1">
        <f>INDEX(T_Performances,MATCH($A448,T_Names,0))</f>
        <v>1</v>
      </c>
      <c r="D448">
        <v>42.26</v>
      </c>
      <c r="E448" s="1">
        <f>INDEX(T_Avg_PPG,MATCH($A448,T_Names,0))</f>
        <v>3.8418181818181818</v>
      </c>
      <c r="F448">
        <f>1+COUNTIFS(T_Total,"&gt;"&amp;D448,T_Pos,$B448)</f>
        <v>111</v>
      </c>
      <c r="G448">
        <f>1+COUNTIFS(T_Avg_PPG,"&gt;"&amp;E448,T_Pos,$B448)</f>
        <v>147</v>
      </c>
      <c r="H448">
        <f>_xlfn.IFNA(VLOOKUP($A448,PredictionTable,MATCH(H$1,Analysts,0),FALSE),60)</f>
        <v>60</v>
      </c>
      <c r="I448">
        <f>_xlfn.IFNA(VLOOKUP($A448,PredictionTable,MATCH(I$1,Analysts,0),FALSE),60)</f>
        <v>60</v>
      </c>
      <c r="J448">
        <f>_xlfn.IFNA(VLOOKUP($A448,PredictionTable,MATCH(J$1,Analysts,0),FALSE),60)</f>
        <v>60</v>
      </c>
      <c r="K448">
        <f>_xlfn.IFNA(VLOOKUP($A448,PredictionTable,MATCH(K$1,Analysts,0),FALSE),60)</f>
        <v>60</v>
      </c>
      <c r="L448">
        <f>_xlfn.IFNA(VLOOKUP($A448,PredictionTable,MATCH(L$1,Analysts,0),FALSE),60)</f>
        <v>60</v>
      </c>
      <c r="M448">
        <f>_xlfn.IFNA(VLOOKUP($A448,PredictionTable,MATCH(M$1,Analysts,0),FALSE),60)</f>
        <v>60</v>
      </c>
      <c r="N448">
        <f>_xlfn.IFNA(VLOOKUP($A448,PredictionTable,MATCH(N$1,Analysts,0),FALSE),60)</f>
        <v>60</v>
      </c>
      <c r="O448">
        <f>_xlfn.IFNA(VLOOKUP($A448,PredictionTable,MATCH(O$1,Analysts,0),FALSE),60)</f>
        <v>60</v>
      </c>
      <c r="P448">
        <f>_xlfn.IFNA(VLOOKUP($A448,PredictionTable,MATCH(P$1,Analysts,0),FALSE),60)</f>
        <v>60</v>
      </c>
      <c r="V448" s="7" t="s">
        <v>589</v>
      </c>
    </row>
    <row r="449" spans="1:22" x14ac:dyDescent="0.45">
      <c r="A449" s="1" t="s">
        <v>455</v>
      </c>
      <c r="B449" s="1" t="s">
        <v>343</v>
      </c>
      <c r="C449" s="1">
        <f>INDEX(T_Performances,MATCH($A449,T_Names,0))</f>
        <v>1</v>
      </c>
      <c r="D449">
        <v>42.1</v>
      </c>
      <c r="E449" s="1">
        <f>INDEX(T_Avg_PPG,MATCH($A449,T_Names,0))</f>
        <v>4.21</v>
      </c>
      <c r="F449">
        <f>1+COUNTIFS(T_Total,"&gt;"&amp;D449,T_Pos,$B449)</f>
        <v>112</v>
      </c>
      <c r="G449">
        <f>1+COUNTIFS(T_Avg_PPG,"&gt;"&amp;E449,T_Pos,$B449)</f>
        <v>138</v>
      </c>
      <c r="H449">
        <f>_xlfn.IFNA(VLOOKUP($A449,PredictionTable,MATCH(H$1,Analysts,0),FALSE),60)</f>
        <v>60</v>
      </c>
      <c r="I449">
        <f>_xlfn.IFNA(VLOOKUP($A449,PredictionTable,MATCH(I$1,Analysts,0),FALSE),60)</f>
        <v>60</v>
      </c>
      <c r="J449">
        <f>_xlfn.IFNA(VLOOKUP($A449,PredictionTable,MATCH(J$1,Analysts,0),FALSE),60)</f>
        <v>60</v>
      </c>
      <c r="K449">
        <f>_xlfn.IFNA(VLOOKUP($A449,PredictionTable,MATCH(K$1,Analysts,0),FALSE),60)</f>
        <v>60</v>
      </c>
      <c r="L449">
        <f>_xlfn.IFNA(VLOOKUP($A449,PredictionTable,MATCH(L$1,Analysts,0),FALSE),60)</f>
        <v>60</v>
      </c>
      <c r="M449">
        <f>_xlfn.IFNA(VLOOKUP($A449,PredictionTable,MATCH(M$1,Analysts,0),FALSE),60)</f>
        <v>60</v>
      </c>
      <c r="N449">
        <f>_xlfn.IFNA(VLOOKUP($A449,PredictionTable,MATCH(N$1,Analysts,0),FALSE),60)</f>
        <v>60</v>
      </c>
      <c r="O449">
        <f>_xlfn.IFNA(VLOOKUP($A449,PredictionTable,MATCH(O$1,Analysts,0),FALSE),60)</f>
        <v>60</v>
      </c>
      <c r="P449">
        <f>_xlfn.IFNA(VLOOKUP($A449,PredictionTable,MATCH(P$1,Analysts,0),FALSE),60)</f>
        <v>60</v>
      </c>
      <c r="V449" s="7" t="s">
        <v>589</v>
      </c>
    </row>
    <row r="450" spans="1:22" x14ac:dyDescent="0.45">
      <c r="A450" s="1" t="s">
        <v>456</v>
      </c>
      <c r="B450" s="1" t="s">
        <v>343</v>
      </c>
      <c r="C450" s="1">
        <f>INDEX(T_Performances,MATCH($A450,T_Names,0))</f>
        <v>1</v>
      </c>
      <c r="D450">
        <v>42</v>
      </c>
      <c r="E450" s="1">
        <f>INDEX(T_Avg_PPG,MATCH($A450,T_Names,0))</f>
        <v>5.25</v>
      </c>
      <c r="F450">
        <f>1+COUNTIFS(T_Total,"&gt;"&amp;D450,T_Pos,$B450)</f>
        <v>113</v>
      </c>
      <c r="G450">
        <f>1+COUNTIFS(T_Avg_PPG,"&gt;"&amp;E450,T_Pos,$B450)</f>
        <v>115</v>
      </c>
      <c r="H450">
        <f>_xlfn.IFNA(VLOOKUP($A450,PredictionTable,MATCH(H$1,Analysts,0),FALSE),60)</f>
        <v>60</v>
      </c>
      <c r="I450">
        <f>_xlfn.IFNA(VLOOKUP($A450,PredictionTable,MATCH(I$1,Analysts,0),FALSE),60)</f>
        <v>60</v>
      </c>
      <c r="J450">
        <f>_xlfn.IFNA(VLOOKUP($A450,PredictionTable,MATCH(J$1,Analysts,0),FALSE),60)</f>
        <v>60</v>
      </c>
      <c r="K450">
        <f>_xlfn.IFNA(VLOOKUP($A450,PredictionTable,MATCH(K$1,Analysts,0),FALSE),60)</f>
        <v>60</v>
      </c>
      <c r="L450">
        <f>_xlfn.IFNA(VLOOKUP($A450,PredictionTable,MATCH(L$1,Analysts,0),FALSE),60)</f>
        <v>60</v>
      </c>
      <c r="M450">
        <f>_xlfn.IFNA(VLOOKUP($A450,PredictionTable,MATCH(M$1,Analysts,0),FALSE),60)</f>
        <v>60</v>
      </c>
      <c r="N450">
        <f>_xlfn.IFNA(VLOOKUP($A450,PredictionTable,MATCH(N$1,Analysts,0),FALSE),60)</f>
        <v>60</v>
      </c>
      <c r="O450">
        <f>_xlfn.IFNA(VLOOKUP($A450,PredictionTable,MATCH(O$1,Analysts,0),FALSE),60)</f>
        <v>60</v>
      </c>
      <c r="P450">
        <f>_xlfn.IFNA(VLOOKUP($A450,PredictionTable,MATCH(P$1,Analysts,0),FALSE),60)</f>
        <v>60</v>
      </c>
      <c r="V450" s="7" t="s">
        <v>589</v>
      </c>
    </row>
    <row r="451" spans="1:22" x14ac:dyDescent="0.45">
      <c r="A451" s="1" t="s">
        <v>457</v>
      </c>
      <c r="B451" s="1" t="s">
        <v>343</v>
      </c>
      <c r="C451" s="1">
        <f>INDEX(T_Performances,MATCH($A451,T_Names,0))</f>
        <v>0</v>
      </c>
      <c r="D451">
        <v>41.8</v>
      </c>
      <c r="E451" s="1">
        <f>INDEX(T_Avg_PPG,MATCH($A451,T_Names,0))</f>
        <v>5.2249999999999996</v>
      </c>
      <c r="F451">
        <f>1+COUNTIFS(T_Total,"&gt;"&amp;D451,T_Pos,$B451)</f>
        <v>114</v>
      </c>
      <c r="G451">
        <f>1+COUNTIFS(T_Avg_PPG,"&gt;"&amp;E451,T_Pos,$B451)</f>
        <v>116</v>
      </c>
      <c r="H451">
        <f>_xlfn.IFNA(VLOOKUP($A451,PredictionTable,MATCH(H$1,Analysts,0),FALSE),60)</f>
        <v>60</v>
      </c>
      <c r="I451">
        <f>_xlfn.IFNA(VLOOKUP($A451,PredictionTable,MATCH(I$1,Analysts,0),FALSE),60)</f>
        <v>60</v>
      </c>
      <c r="J451">
        <f>_xlfn.IFNA(VLOOKUP($A451,PredictionTable,MATCH(J$1,Analysts,0),FALSE),60)</f>
        <v>60</v>
      </c>
      <c r="K451">
        <f>_xlfn.IFNA(VLOOKUP($A451,PredictionTable,MATCH(K$1,Analysts,0),FALSE),60)</f>
        <v>60</v>
      </c>
      <c r="L451">
        <f>_xlfn.IFNA(VLOOKUP($A451,PredictionTable,MATCH(L$1,Analysts,0),FALSE),60)</f>
        <v>60</v>
      </c>
      <c r="M451">
        <f>_xlfn.IFNA(VLOOKUP($A451,PredictionTable,MATCH(M$1,Analysts,0),FALSE),60)</f>
        <v>60</v>
      </c>
      <c r="N451">
        <f>_xlfn.IFNA(VLOOKUP($A451,PredictionTable,MATCH(N$1,Analysts,0),FALSE),60)</f>
        <v>60</v>
      </c>
      <c r="O451">
        <f>_xlfn.IFNA(VLOOKUP($A451,PredictionTable,MATCH(O$1,Analysts,0),FALSE),60)</f>
        <v>60</v>
      </c>
      <c r="P451">
        <f>_xlfn.IFNA(VLOOKUP($A451,PredictionTable,MATCH(P$1,Analysts,0),FALSE),60)</f>
        <v>60</v>
      </c>
      <c r="V451" s="7" t="s">
        <v>589</v>
      </c>
    </row>
    <row r="452" spans="1:22" x14ac:dyDescent="0.45">
      <c r="A452" s="1" t="s">
        <v>458</v>
      </c>
      <c r="B452" s="1" t="s">
        <v>343</v>
      </c>
      <c r="C452" s="1">
        <f>INDEX(T_Performances,MATCH($A452,T_Names,0))</f>
        <v>2</v>
      </c>
      <c r="D452">
        <v>41.5</v>
      </c>
      <c r="E452" s="1">
        <f>INDEX(T_Avg_PPG,MATCH($A452,T_Names,0))</f>
        <v>6.916666666666667</v>
      </c>
      <c r="F452">
        <f>1+COUNTIFS(T_Total,"&gt;"&amp;D452,T_Pos,$B452)</f>
        <v>115</v>
      </c>
      <c r="G452">
        <f>1+COUNTIFS(T_Avg_PPG,"&gt;"&amp;E452,T_Pos,$B452)</f>
        <v>86</v>
      </c>
      <c r="H452">
        <f>_xlfn.IFNA(VLOOKUP($A452,PredictionTable,MATCH(H$1,Analysts,0),FALSE),60)</f>
        <v>60</v>
      </c>
      <c r="I452">
        <f>_xlfn.IFNA(VLOOKUP($A452,PredictionTable,MATCH(I$1,Analysts,0),FALSE),60)</f>
        <v>60</v>
      </c>
      <c r="J452">
        <f>_xlfn.IFNA(VLOOKUP($A452,PredictionTable,MATCH(J$1,Analysts,0),FALSE),60)</f>
        <v>60</v>
      </c>
      <c r="K452">
        <f>_xlfn.IFNA(VLOOKUP($A452,PredictionTable,MATCH(K$1,Analysts,0),FALSE),60)</f>
        <v>60</v>
      </c>
      <c r="L452">
        <f>_xlfn.IFNA(VLOOKUP($A452,PredictionTable,MATCH(L$1,Analysts,0),FALSE),60)</f>
        <v>60</v>
      </c>
      <c r="M452">
        <f>_xlfn.IFNA(VLOOKUP($A452,PredictionTable,MATCH(M$1,Analysts,0),FALSE),60)</f>
        <v>60</v>
      </c>
      <c r="N452">
        <f>_xlfn.IFNA(VLOOKUP($A452,PredictionTable,MATCH(N$1,Analysts,0),FALSE),60)</f>
        <v>60</v>
      </c>
      <c r="O452">
        <f>_xlfn.IFNA(VLOOKUP($A452,PredictionTable,MATCH(O$1,Analysts,0),FALSE),60)</f>
        <v>60</v>
      </c>
      <c r="P452">
        <f>_xlfn.IFNA(VLOOKUP($A452,PredictionTable,MATCH(P$1,Analysts,0),FALSE),60)</f>
        <v>60</v>
      </c>
      <c r="V452" s="7" t="s">
        <v>589</v>
      </c>
    </row>
    <row r="453" spans="1:22" x14ac:dyDescent="0.45">
      <c r="A453" s="1" t="s">
        <v>459</v>
      </c>
      <c r="B453" s="1" t="s">
        <v>343</v>
      </c>
      <c r="C453" s="1">
        <f>INDEX(T_Performances,MATCH($A453,T_Names,0))</f>
        <v>1</v>
      </c>
      <c r="D453">
        <v>39.94</v>
      </c>
      <c r="E453" s="1">
        <f>INDEX(T_Avg_PPG,MATCH($A453,T_Names,0))</f>
        <v>4.4377777777777778</v>
      </c>
      <c r="F453">
        <f>1+COUNTIFS(T_Total,"&gt;"&amp;D453,T_Pos,$B453)</f>
        <v>116</v>
      </c>
      <c r="G453">
        <f>1+COUNTIFS(T_Avg_PPG,"&gt;"&amp;E453,T_Pos,$B453)</f>
        <v>131</v>
      </c>
      <c r="H453">
        <f>_xlfn.IFNA(VLOOKUP($A453,PredictionTable,MATCH(H$1,Analysts,0),FALSE),60)</f>
        <v>60</v>
      </c>
      <c r="I453">
        <f>_xlfn.IFNA(VLOOKUP($A453,PredictionTable,MATCH(I$1,Analysts,0),FALSE),60)</f>
        <v>60</v>
      </c>
      <c r="J453">
        <f>_xlfn.IFNA(VLOOKUP($A453,PredictionTable,MATCH(J$1,Analysts,0),FALSE),60)</f>
        <v>60</v>
      </c>
      <c r="K453">
        <f>_xlfn.IFNA(VLOOKUP($A453,PredictionTable,MATCH(K$1,Analysts,0),FALSE),60)</f>
        <v>60</v>
      </c>
      <c r="L453">
        <f>_xlfn.IFNA(VLOOKUP($A453,PredictionTable,MATCH(L$1,Analysts,0),FALSE),60)</f>
        <v>60</v>
      </c>
      <c r="M453">
        <f>_xlfn.IFNA(VLOOKUP($A453,PredictionTable,MATCH(M$1,Analysts,0),FALSE),60)</f>
        <v>60</v>
      </c>
      <c r="N453">
        <f>_xlfn.IFNA(VLOOKUP($A453,PredictionTable,MATCH(N$1,Analysts,0),FALSE),60)</f>
        <v>60</v>
      </c>
      <c r="O453">
        <f>_xlfn.IFNA(VLOOKUP($A453,PredictionTable,MATCH(O$1,Analysts,0),FALSE),60)</f>
        <v>60</v>
      </c>
      <c r="P453">
        <f>_xlfn.IFNA(VLOOKUP($A453,PredictionTable,MATCH(P$1,Analysts,0),FALSE),60)</f>
        <v>60</v>
      </c>
      <c r="V453" s="7" t="s">
        <v>589</v>
      </c>
    </row>
    <row r="454" spans="1:22" x14ac:dyDescent="0.45">
      <c r="A454" s="1" t="s">
        <v>460</v>
      </c>
      <c r="B454" s="1" t="s">
        <v>343</v>
      </c>
      <c r="C454" s="1">
        <f>INDEX(T_Performances,MATCH($A454,T_Names,0))</f>
        <v>1</v>
      </c>
      <c r="D454">
        <v>39.1</v>
      </c>
      <c r="E454" s="1">
        <f>INDEX(T_Avg_PPG,MATCH($A454,T_Names,0))</f>
        <v>4.344444444444445</v>
      </c>
      <c r="F454">
        <f>1+COUNTIFS(T_Total,"&gt;"&amp;D454,T_Pos,$B454)</f>
        <v>117</v>
      </c>
      <c r="G454">
        <f>1+COUNTIFS(T_Avg_PPG,"&gt;"&amp;E454,T_Pos,$B454)</f>
        <v>136</v>
      </c>
      <c r="H454">
        <f>_xlfn.IFNA(VLOOKUP($A454,PredictionTable,MATCH(H$1,Analysts,0),FALSE),60)</f>
        <v>60</v>
      </c>
      <c r="I454">
        <f>_xlfn.IFNA(VLOOKUP($A454,PredictionTable,MATCH(I$1,Analysts,0),FALSE),60)</f>
        <v>60</v>
      </c>
      <c r="J454">
        <f>_xlfn.IFNA(VLOOKUP($A454,PredictionTable,MATCH(J$1,Analysts,0),FALSE),60)</f>
        <v>60</v>
      </c>
      <c r="K454">
        <f>_xlfn.IFNA(VLOOKUP($A454,PredictionTable,MATCH(K$1,Analysts,0),FALSE),60)</f>
        <v>60</v>
      </c>
      <c r="L454">
        <f>_xlfn.IFNA(VLOOKUP($A454,PredictionTable,MATCH(L$1,Analysts,0),FALSE),60)</f>
        <v>60</v>
      </c>
      <c r="M454">
        <f>_xlfn.IFNA(VLOOKUP($A454,PredictionTable,MATCH(M$1,Analysts,0),FALSE),60)</f>
        <v>60</v>
      </c>
      <c r="N454">
        <f>_xlfn.IFNA(VLOOKUP($A454,PredictionTable,MATCH(N$1,Analysts,0),FALSE),60)</f>
        <v>60</v>
      </c>
      <c r="O454">
        <f>_xlfn.IFNA(VLOOKUP($A454,PredictionTable,MATCH(O$1,Analysts,0),FALSE),60)</f>
        <v>60</v>
      </c>
      <c r="P454">
        <f>_xlfn.IFNA(VLOOKUP($A454,PredictionTable,MATCH(P$1,Analysts,0),FALSE),60)</f>
        <v>60</v>
      </c>
      <c r="V454" s="7" t="s">
        <v>589</v>
      </c>
    </row>
    <row r="455" spans="1:22" x14ac:dyDescent="0.45">
      <c r="A455" s="1" t="s">
        <v>461</v>
      </c>
      <c r="B455" s="1" t="s">
        <v>343</v>
      </c>
      <c r="C455" s="1">
        <f>INDEX(T_Performances,MATCH($A455,T_Names,0))</f>
        <v>0</v>
      </c>
      <c r="D455">
        <v>33.6</v>
      </c>
      <c r="E455" s="1">
        <f>INDEX(T_Avg_PPG,MATCH($A455,T_Names,0))</f>
        <v>4.2</v>
      </c>
      <c r="F455">
        <f>1+COUNTIFS(T_Total,"&gt;"&amp;D455,T_Pos,$B455)</f>
        <v>118</v>
      </c>
      <c r="G455">
        <f>1+COUNTIFS(T_Avg_PPG,"&gt;"&amp;E455,T_Pos,$B455)</f>
        <v>140</v>
      </c>
      <c r="H455">
        <f>_xlfn.IFNA(VLOOKUP($A455,PredictionTable,MATCH(H$1,Analysts,0),FALSE),60)</f>
        <v>60</v>
      </c>
      <c r="I455">
        <f>_xlfn.IFNA(VLOOKUP($A455,PredictionTable,MATCH(I$1,Analysts,0),FALSE),60)</f>
        <v>60</v>
      </c>
      <c r="J455">
        <f>_xlfn.IFNA(VLOOKUP($A455,PredictionTable,MATCH(J$1,Analysts,0),FALSE),60)</f>
        <v>60</v>
      </c>
      <c r="K455">
        <f>_xlfn.IFNA(VLOOKUP($A455,PredictionTable,MATCH(K$1,Analysts,0),FALSE),60)</f>
        <v>60</v>
      </c>
      <c r="L455">
        <f>_xlfn.IFNA(VLOOKUP($A455,PredictionTable,MATCH(L$1,Analysts,0),FALSE),60)</f>
        <v>60</v>
      </c>
      <c r="M455">
        <f>_xlfn.IFNA(VLOOKUP($A455,PredictionTable,MATCH(M$1,Analysts,0),FALSE),60)</f>
        <v>60</v>
      </c>
      <c r="N455">
        <f>_xlfn.IFNA(VLOOKUP($A455,PredictionTable,MATCH(N$1,Analysts,0),FALSE),60)</f>
        <v>60</v>
      </c>
      <c r="O455">
        <f>_xlfn.IFNA(VLOOKUP($A455,PredictionTable,MATCH(O$1,Analysts,0),FALSE),60)</f>
        <v>60</v>
      </c>
      <c r="P455">
        <f>_xlfn.IFNA(VLOOKUP($A455,PredictionTable,MATCH(P$1,Analysts,0),FALSE),60)</f>
        <v>60</v>
      </c>
      <c r="V455" s="7" t="s">
        <v>589</v>
      </c>
    </row>
    <row r="456" spans="1:22" x14ac:dyDescent="0.45">
      <c r="A456" s="1" t="s">
        <v>462</v>
      </c>
      <c r="B456" s="1" t="s">
        <v>343</v>
      </c>
      <c r="C456" s="1">
        <f>INDEX(T_Performances,MATCH($A456,T_Names,0))</f>
        <v>1</v>
      </c>
      <c r="D456">
        <v>32.4</v>
      </c>
      <c r="E456" s="1">
        <f>INDEX(T_Avg_PPG,MATCH($A456,T_Names,0))</f>
        <v>3.5999999999999996</v>
      </c>
      <c r="F456">
        <f>1+COUNTIFS(T_Total,"&gt;"&amp;D456,T_Pos,$B456)</f>
        <v>119</v>
      </c>
      <c r="G456">
        <f>1+COUNTIFS(T_Avg_PPG,"&gt;"&amp;E456,T_Pos,$B456)</f>
        <v>153</v>
      </c>
      <c r="H456">
        <f>_xlfn.IFNA(VLOOKUP($A456,PredictionTable,MATCH(H$1,Analysts,0),FALSE),60)</f>
        <v>60</v>
      </c>
      <c r="I456">
        <f>_xlfn.IFNA(VLOOKUP($A456,PredictionTable,MATCH(I$1,Analysts,0),FALSE),60)</f>
        <v>60</v>
      </c>
      <c r="J456">
        <f>_xlfn.IFNA(VLOOKUP($A456,PredictionTable,MATCH(J$1,Analysts,0),FALSE),60)</f>
        <v>60</v>
      </c>
      <c r="K456">
        <f>_xlfn.IFNA(VLOOKUP($A456,PredictionTable,MATCH(K$1,Analysts,0),FALSE),60)</f>
        <v>60</v>
      </c>
      <c r="L456">
        <f>_xlfn.IFNA(VLOOKUP($A456,PredictionTable,MATCH(L$1,Analysts,0),FALSE),60)</f>
        <v>60</v>
      </c>
      <c r="M456">
        <f>_xlfn.IFNA(VLOOKUP($A456,PredictionTable,MATCH(M$1,Analysts,0),FALSE),60)</f>
        <v>60</v>
      </c>
      <c r="N456">
        <f>_xlfn.IFNA(VLOOKUP($A456,PredictionTable,MATCH(N$1,Analysts,0),FALSE),60)</f>
        <v>60</v>
      </c>
      <c r="O456">
        <f>_xlfn.IFNA(VLOOKUP($A456,PredictionTable,MATCH(O$1,Analysts,0),FALSE),60)</f>
        <v>60</v>
      </c>
      <c r="P456">
        <f>_xlfn.IFNA(VLOOKUP($A456,PredictionTable,MATCH(P$1,Analysts,0),FALSE),60)</f>
        <v>60</v>
      </c>
      <c r="V456" s="7" t="s">
        <v>589</v>
      </c>
    </row>
    <row r="457" spans="1:22" x14ac:dyDescent="0.45">
      <c r="A457" s="1" t="s">
        <v>463</v>
      </c>
      <c r="B457" s="1" t="s">
        <v>343</v>
      </c>
      <c r="C457" s="1">
        <f>INDEX(T_Performances,MATCH($A457,T_Names,0))</f>
        <v>1</v>
      </c>
      <c r="D457">
        <v>31.9</v>
      </c>
      <c r="E457" s="1">
        <f>INDEX(T_Avg_PPG,MATCH($A457,T_Names,0))</f>
        <v>6.38</v>
      </c>
      <c r="F457">
        <f>1+COUNTIFS(T_Total,"&gt;"&amp;D457,T_Pos,$B457)</f>
        <v>120</v>
      </c>
      <c r="G457">
        <f>1+COUNTIFS(T_Avg_PPG,"&gt;"&amp;E457,T_Pos,$B457)</f>
        <v>98</v>
      </c>
      <c r="H457">
        <f>_xlfn.IFNA(VLOOKUP($A457,PredictionTable,MATCH(H$1,Analysts,0),FALSE),60)</f>
        <v>60</v>
      </c>
      <c r="I457">
        <f>_xlfn.IFNA(VLOOKUP($A457,PredictionTable,MATCH(I$1,Analysts,0),FALSE),60)</f>
        <v>60</v>
      </c>
      <c r="J457">
        <f>_xlfn.IFNA(VLOOKUP($A457,PredictionTable,MATCH(J$1,Analysts,0),FALSE),60)</f>
        <v>60</v>
      </c>
      <c r="K457">
        <f>_xlfn.IFNA(VLOOKUP($A457,PredictionTable,MATCH(K$1,Analysts,0),FALSE),60)</f>
        <v>60</v>
      </c>
      <c r="L457">
        <f>_xlfn.IFNA(VLOOKUP($A457,PredictionTable,MATCH(L$1,Analysts,0),FALSE),60)</f>
        <v>60</v>
      </c>
      <c r="M457">
        <f>_xlfn.IFNA(VLOOKUP($A457,PredictionTable,MATCH(M$1,Analysts,0),FALSE),60)</f>
        <v>60</v>
      </c>
      <c r="N457">
        <f>_xlfn.IFNA(VLOOKUP($A457,PredictionTable,MATCH(N$1,Analysts,0),FALSE),60)</f>
        <v>60</v>
      </c>
      <c r="O457">
        <f>_xlfn.IFNA(VLOOKUP($A457,PredictionTable,MATCH(O$1,Analysts,0),FALSE),60)</f>
        <v>60</v>
      </c>
      <c r="P457">
        <f>_xlfn.IFNA(VLOOKUP($A457,PredictionTable,MATCH(P$1,Analysts,0),FALSE),60)</f>
        <v>60</v>
      </c>
      <c r="V457" s="7" t="s">
        <v>589</v>
      </c>
    </row>
    <row r="458" spans="1:22" x14ac:dyDescent="0.45">
      <c r="A458" s="1" t="s">
        <v>464</v>
      </c>
      <c r="B458" s="1" t="s">
        <v>343</v>
      </c>
      <c r="C458" s="1">
        <f>INDEX(T_Performances,MATCH($A458,T_Names,0))</f>
        <v>0</v>
      </c>
      <c r="D458">
        <v>30.8</v>
      </c>
      <c r="E458" s="1">
        <f>INDEX(T_Avg_PPG,MATCH($A458,T_Names,0))</f>
        <v>4.4000000000000004</v>
      </c>
      <c r="F458">
        <f>1+COUNTIFS(T_Total,"&gt;"&amp;D458,T_Pos,$B458)</f>
        <v>121</v>
      </c>
      <c r="G458">
        <f>1+COUNTIFS(T_Avg_PPG,"&gt;"&amp;E458,T_Pos,$B458)</f>
        <v>133</v>
      </c>
      <c r="H458">
        <f>_xlfn.IFNA(VLOOKUP($A458,PredictionTable,MATCH(H$1,Analysts,0),FALSE),60)</f>
        <v>60</v>
      </c>
      <c r="I458">
        <f>_xlfn.IFNA(VLOOKUP($A458,PredictionTable,MATCH(I$1,Analysts,0),FALSE),60)</f>
        <v>60</v>
      </c>
      <c r="J458">
        <f>_xlfn.IFNA(VLOOKUP($A458,PredictionTable,MATCH(J$1,Analysts,0),FALSE),60)</f>
        <v>60</v>
      </c>
      <c r="K458">
        <f>_xlfn.IFNA(VLOOKUP($A458,PredictionTable,MATCH(K$1,Analysts,0),FALSE),60)</f>
        <v>60</v>
      </c>
      <c r="L458">
        <f>_xlfn.IFNA(VLOOKUP($A458,PredictionTable,MATCH(L$1,Analysts,0),FALSE),60)</f>
        <v>60</v>
      </c>
      <c r="M458">
        <f>_xlfn.IFNA(VLOOKUP($A458,PredictionTable,MATCH(M$1,Analysts,0),FALSE),60)</f>
        <v>60</v>
      </c>
      <c r="N458">
        <f>_xlfn.IFNA(VLOOKUP($A458,PredictionTable,MATCH(N$1,Analysts,0),FALSE),60)</f>
        <v>60</v>
      </c>
      <c r="O458">
        <f>_xlfn.IFNA(VLOOKUP($A458,PredictionTable,MATCH(O$1,Analysts,0),FALSE),60)</f>
        <v>60</v>
      </c>
      <c r="P458">
        <f>_xlfn.IFNA(VLOOKUP($A458,PredictionTable,MATCH(P$1,Analysts,0),FALSE),60)</f>
        <v>60</v>
      </c>
      <c r="V458" s="7" t="s">
        <v>589</v>
      </c>
    </row>
    <row r="459" spans="1:22" x14ac:dyDescent="0.45">
      <c r="A459" s="1" t="s">
        <v>465</v>
      </c>
      <c r="B459" s="1" t="s">
        <v>343</v>
      </c>
      <c r="C459" s="1">
        <f>INDEX(T_Performances,MATCH($A459,T_Names,0))</f>
        <v>0</v>
      </c>
      <c r="D459">
        <v>29.7</v>
      </c>
      <c r="E459" s="1">
        <f>INDEX(T_Avg_PPG,MATCH($A459,T_Names,0))</f>
        <v>3.3</v>
      </c>
      <c r="F459">
        <f>1+COUNTIFS(T_Total,"&gt;"&amp;D459,T_Pos,$B459)</f>
        <v>123</v>
      </c>
      <c r="G459">
        <f>1+COUNTIFS(T_Avg_PPG,"&gt;"&amp;E459,T_Pos,$B459)</f>
        <v>158</v>
      </c>
      <c r="H459">
        <f>_xlfn.IFNA(VLOOKUP($A459,PredictionTable,MATCH(H$1,Analysts,0),FALSE),60)</f>
        <v>60</v>
      </c>
      <c r="I459">
        <f>_xlfn.IFNA(VLOOKUP($A459,PredictionTable,MATCH(I$1,Analysts,0),FALSE),60)</f>
        <v>60</v>
      </c>
      <c r="J459">
        <f>_xlfn.IFNA(VLOOKUP($A459,PredictionTable,MATCH(J$1,Analysts,0),FALSE),60)</f>
        <v>60</v>
      </c>
      <c r="K459">
        <f>_xlfn.IFNA(VLOOKUP($A459,PredictionTable,MATCH(K$1,Analysts,0),FALSE),60)</f>
        <v>60</v>
      </c>
      <c r="L459">
        <f>_xlfn.IFNA(VLOOKUP($A459,PredictionTable,MATCH(L$1,Analysts,0),FALSE),60)</f>
        <v>60</v>
      </c>
      <c r="M459">
        <f>_xlfn.IFNA(VLOOKUP($A459,PredictionTable,MATCH(M$1,Analysts,0),FALSE),60)</f>
        <v>60</v>
      </c>
      <c r="N459">
        <f>_xlfn.IFNA(VLOOKUP($A459,PredictionTable,MATCH(N$1,Analysts,0),FALSE),60)</f>
        <v>60</v>
      </c>
      <c r="O459">
        <f>_xlfn.IFNA(VLOOKUP($A459,PredictionTable,MATCH(O$1,Analysts,0),FALSE),60)</f>
        <v>60</v>
      </c>
      <c r="P459">
        <f>_xlfn.IFNA(VLOOKUP($A459,PredictionTable,MATCH(P$1,Analysts,0),FALSE),60)</f>
        <v>60</v>
      </c>
      <c r="V459" s="7" t="s">
        <v>589</v>
      </c>
    </row>
    <row r="460" spans="1:22" x14ac:dyDescent="0.45">
      <c r="A460" s="1" t="s">
        <v>466</v>
      </c>
      <c r="B460" s="1" t="s">
        <v>343</v>
      </c>
      <c r="C460" s="1">
        <f>INDEX(T_Performances,MATCH($A460,T_Names,0))</f>
        <v>1</v>
      </c>
      <c r="D460">
        <v>29.2</v>
      </c>
      <c r="E460" s="1">
        <f>INDEX(T_Avg_PPG,MATCH($A460,T_Names,0))</f>
        <v>4.1714285714285717</v>
      </c>
      <c r="F460">
        <f>1+COUNTIFS(T_Total,"&gt;"&amp;D460,T_Pos,$B460)</f>
        <v>124</v>
      </c>
      <c r="G460">
        <f>1+COUNTIFS(T_Avg_PPG,"&gt;"&amp;E460,T_Pos,$B460)</f>
        <v>143</v>
      </c>
      <c r="H460">
        <f>_xlfn.IFNA(VLOOKUP($A460,PredictionTable,MATCH(H$1,Analysts,0),FALSE),60)</f>
        <v>60</v>
      </c>
      <c r="I460">
        <f>_xlfn.IFNA(VLOOKUP($A460,PredictionTable,MATCH(I$1,Analysts,0),FALSE),60)</f>
        <v>60</v>
      </c>
      <c r="J460">
        <f>_xlfn.IFNA(VLOOKUP($A460,PredictionTable,MATCH(J$1,Analysts,0),FALSE),60)</f>
        <v>60</v>
      </c>
      <c r="K460">
        <f>_xlfn.IFNA(VLOOKUP($A460,PredictionTable,MATCH(K$1,Analysts,0),FALSE),60)</f>
        <v>60</v>
      </c>
      <c r="L460">
        <f>_xlfn.IFNA(VLOOKUP($A460,PredictionTable,MATCH(L$1,Analysts,0),FALSE),60)</f>
        <v>60</v>
      </c>
      <c r="M460">
        <f>_xlfn.IFNA(VLOOKUP($A460,PredictionTable,MATCH(M$1,Analysts,0),FALSE),60)</f>
        <v>60</v>
      </c>
      <c r="N460">
        <f>_xlfn.IFNA(VLOOKUP($A460,PredictionTable,MATCH(N$1,Analysts,0),FALSE),60)</f>
        <v>60</v>
      </c>
      <c r="O460">
        <f>_xlfn.IFNA(VLOOKUP($A460,PredictionTable,MATCH(O$1,Analysts,0),FALSE),60)</f>
        <v>60</v>
      </c>
      <c r="P460">
        <f>_xlfn.IFNA(VLOOKUP($A460,PredictionTable,MATCH(P$1,Analysts,0),FALSE),60)</f>
        <v>60</v>
      </c>
      <c r="V460" s="7" t="s">
        <v>589</v>
      </c>
    </row>
    <row r="461" spans="1:22" x14ac:dyDescent="0.45">
      <c r="A461" s="1" t="s">
        <v>467</v>
      </c>
      <c r="B461" s="1" t="s">
        <v>343</v>
      </c>
      <c r="C461" s="1">
        <f>INDEX(T_Performances,MATCH($A461,T_Names,0))</f>
        <v>0</v>
      </c>
      <c r="D461">
        <v>28.3</v>
      </c>
      <c r="E461" s="1">
        <f>INDEX(T_Avg_PPG,MATCH($A461,T_Names,0))</f>
        <v>2.83</v>
      </c>
      <c r="F461">
        <f>1+COUNTIFS(T_Total,"&gt;"&amp;D461,T_Pos,$B461)</f>
        <v>125</v>
      </c>
      <c r="G461">
        <f>1+COUNTIFS(T_Avg_PPG,"&gt;"&amp;E461,T_Pos,$B461)</f>
        <v>168</v>
      </c>
      <c r="H461">
        <f>_xlfn.IFNA(VLOOKUP($A461,PredictionTable,MATCH(H$1,Analysts,0),FALSE),60)</f>
        <v>60</v>
      </c>
      <c r="I461">
        <f>_xlfn.IFNA(VLOOKUP($A461,PredictionTable,MATCH(I$1,Analysts,0),FALSE),60)</f>
        <v>60</v>
      </c>
      <c r="J461">
        <f>_xlfn.IFNA(VLOOKUP($A461,PredictionTable,MATCH(J$1,Analysts,0),FALSE),60)</f>
        <v>60</v>
      </c>
      <c r="K461">
        <f>_xlfn.IFNA(VLOOKUP($A461,PredictionTable,MATCH(K$1,Analysts,0),FALSE),60)</f>
        <v>60</v>
      </c>
      <c r="L461">
        <f>_xlfn.IFNA(VLOOKUP($A461,PredictionTable,MATCH(L$1,Analysts,0),FALSE),60)</f>
        <v>60</v>
      </c>
      <c r="M461">
        <f>_xlfn.IFNA(VLOOKUP($A461,PredictionTable,MATCH(M$1,Analysts,0),FALSE),60)</f>
        <v>60</v>
      </c>
      <c r="N461">
        <f>_xlfn.IFNA(VLOOKUP($A461,PredictionTable,MATCH(N$1,Analysts,0),FALSE),60)</f>
        <v>60</v>
      </c>
      <c r="O461">
        <f>_xlfn.IFNA(VLOOKUP($A461,PredictionTable,MATCH(O$1,Analysts,0),FALSE),60)</f>
        <v>60</v>
      </c>
      <c r="P461">
        <f>_xlfn.IFNA(VLOOKUP($A461,PredictionTable,MATCH(P$1,Analysts,0),FALSE),60)</f>
        <v>60</v>
      </c>
      <c r="V461" s="7" t="s">
        <v>589</v>
      </c>
    </row>
    <row r="462" spans="1:22" x14ac:dyDescent="0.45">
      <c r="A462" s="1" t="s">
        <v>468</v>
      </c>
      <c r="B462" s="1" t="s">
        <v>343</v>
      </c>
      <c r="C462" s="1">
        <f>INDEX(T_Performances,MATCH($A462,T_Names,0))</f>
        <v>1</v>
      </c>
      <c r="D462">
        <v>27.2</v>
      </c>
      <c r="E462" s="1">
        <f>INDEX(T_Avg_PPG,MATCH($A462,T_Names,0))</f>
        <v>4.5333333333333332</v>
      </c>
      <c r="F462">
        <f>1+COUNTIFS(T_Total,"&gt;"&amp;D462,T_Pos,$B462)</f>
        <v>126</v>
      </c>
      <c r="G462">
        <f>1+COUNTIFS(T_Avg_PPG,"&gt;"&amp;E462,T_Pos,$B462)</f>
        <v>128</v>
      </c>
      <c r="H462">
        <f>_xlfn.IFNA(VLOOKUP($A462,PredictionTable,MATCH(H$1,Analysts,0),FALSE),60)</f>
        <v>60</v>
      </c>
      <c r="I462">
        <f>_xlfn.IFNA(VLOOKUP($A462,PredictionTable,MATCH(I$1,Analysts,0),FALSE),60)</f>
        <v>60</v>
      </c>
      <c r="J462">
        <f>_xlfn.IFNA(VLOOKUP($A462,PredictionTable,MATCH(J$1,Analysts,0),FALSE),60)</f>
        <v>60</v>
      </c>
      <c r="K462">
        <f>_xlfn.IFNA(VLOOKUP($A462,PredictionTable,MATCH(K$1,Analysts,0),FALSE),60)</f>
        <v>60</v>
      </c>
      <c r="L462">
        <f>_xlfn.IFNA(VLOOKUP($A462,PredictionTable,MATCH(L$1,Analysts,0),FALSE),60)</f>
        <v>60</v>
      </c>
      <c r="M462">
        <f>_xlfn.IFNA(VLOOKUP($A462,PredictionTable,MATCH(M$1,Analysts,0),FALSE),60)</f>
        <v>60</v>
      </c>
      <c r="N462">
        <f>_xlfn.IFNA(VLOOKUP($A462,PredictionTable,MATCH(N$1,Analysts,0),FALSE),60)</f>
        <v>60</v>
      </c>
      <c r="O462">
        <f>_xlfn.IFNA(VLOOKUP($A462,PredictionTable,MATCH(O$1,Analysts,0),FALSE),60)</f>
        <v>60</v>
      </c>
      <c r="P462">
        <f>_xlfn.IFNA(VLOOKUP($A462,PredictionTable,MATCH(P$1,Analysts,0),FALSE),60)</f>
        <v>60</v>
      </c>
      <c r="V462" s="7" t="s">
        <v>589</v>
      </c>
    </row>
    <row r="463" spans="1:22" x14ac:dyDescent="0.45">
      <c r="A463" s="1" t="s">
        <v>469</v>
      </c>
      <c r="B463" s="1" t="s">
        <v>343</v>
      </c>
      <c r="C463" s="1">
        <f>INDEX(T_Performances,MATCH($A463,T_Names,0))</f>
        <v>0</v>
      </c>
      <c r="D463">
        <v>26.7</v>
      </c>
      <c r="E463" s="1">
        <f>INDEX(T_Avg_PPG,MATCH($A463,T_Names,0))</f>
        <v>5.34</v>
      </c>
      <c r="F463">
        <f>1+COUNTIFS(T_Total,"&gt;"&amp;D463,T_Pos,$B463)</f>
        <v>127</v>
      </c>
      <c r="G463">
        <f>1+COUNTIFS(T_Avg_PPG,"&gt;"&amp;E463,T_Pos,$B463)</f>
        <v>112</v>
      </c>
      <c r="H463">
        <f>_xlfn.IFNA(VLOOKUP($A463,PredictionTable,MATCH(H$1,Analysts,0),FALSE),60)</f>
        <v>60</v>
      </c>
      <c r="I463">
        <f>_xlfn.IFNA(VLOOKUP($A463,PredictionTable,MATCH(I$1,Analysts,0),FALSE),60)</f>
        <v>60</v>
      </c>
      <c r="J463">
        <f>_xlfn.IFNA(VLOOKUP($A463,PredictionTable,MATCH(J$1,Analysts,0),FALSE),60)</f>
        <v>60</v>
      </c>
      <c r="K463">
        <f>_xlfn.IFNA(VLOOKUP($A463,PredictionTable,MATCH(K$1,Analysts,0),FALSE),60)</f>
        <v>60</v>
      </c>
      <c r="L463">
        <f>_xlfn.IFNA(VLOOKUP($A463,PredictionTable,MATCH(L$1,Analysts,0),FALSE),60)</f>
        <v>60</v>
      </c>
      <c r="M463">
        <f>_xlfn.IFNA(VLOOKUP($A463,PredictionTable,MATCH(M$1,Analysts,0),FALSE),60)</f>
        <v>60</v>
      </c>
      <c r="N463">
        <f>_xlfn.IFNA(VLOOKUP($A463,PredictionTable,MATCH(N$1,Analysts,0),FALSE),60)</f>
        <v>60</v>
      </c>
      <c r="O463">
        <f>_xlfn.IFNA(VLOOKUP($A463,PredictionTable,MATCH(O$1,Analysts,0),FALSE),60)</f>
        <v>60</v>
      </c>
      <c r="P463">
        <f>_xlfn.IFNA(VLOOKUP($A463,PredictionTable,MATCH(P$1,Analysts,0),FALSE),60)</f>
        <v>60</v>
      </c>
      <c r="V463" s="7" t="s">
        <v>589</v>
      </c>
    </row>
    <row r="464" spans="1:22" x14ac:dyDescent="0.45">
      <c r="A464" s="1" t="s">
        <v>470</v>
      </c>
      <c r="B464" s="1" t="s">
        <v>343</v>
      </c>
      <c r="C464" s="1">
        <f>INDEX(T_Performances,MATCH($A464,T_Names,0))</f>
        <v>0</v>
      </c>
      <c r="D464">
        <v>26.7</v>
      </c>
      <c r="E464" s="1">
        <f>INDEX(T_Avg_PPG,MATCH($A464,T_Names,0))</f>
        <v>3.8142857142857141</v>
      </c>
      <c r="F464">
        <f>1+COUNTIFS(T_Total,"&gt;"&amp;D464,T_Pos,$B464)</f>
        <v>127</v>
      </c>
      <c r="G464">
        <f>1+COUNTIFS(T_Avg_PPG,"&gt;"&amp;E464,T_Pos,$B464)</f>
        <v>148</v>
      </c>
      <c r="H464">
        <f>_xlfn.IFNA(VLOOKUP($A464,PredictionTable,MATCH(H$1,Analysts,0),FALSE),60)</f>
        <v>60</v>
      </c>
      <c r="I464">
        <f>_xlfn.IFNA(VLOOKUP($A464,PredictionTable,MATCH(I$1,Analysts,0),FALSE),60)</f>
        <v>60</v>
      </c>
      <c r="J464">
        <f>_xlfn.IFNA(VLOOKUP($A464,PredictionTable,MATCH(J$1,Analysts,0),FALSE),60)</f>
        <v>60</v>
      </c>
      <c r="K464">
        <f>_xlfn.IFNA(VLOOKUP($A464,PredictionTable,MATCH(K$1,Analysts,0),FALSE),60)</f>
        <v>60</v>
      </c>
      <c r="L464">
        <f>_xlfn.IFNA(VLOOKUP($A464,PredictionTable,MATCH(L$1,Analysts,0),FALSE),60)</f>
        <v>60</v>
      </c>
      <c r="M464">
        <f>_xlfn.IFNA(VLOOKUP($A464,PredictionTable,MATCH(M$1,Analysts,0),FALSE),60)</f>
        <v>60</v>
      </c>
      <c r="N464">
        <f>_xlfn.IFNA(VLOOKUP($A464,PredictionTable,MATCH(N$1,Analysts,0),FALSE),60)</f>
        <v>60</v>
      </c>
      <c r="O464">
        <f>_xlfn.IFNA(VLOOKUP($A464,PredictionTable,MATCH(O$1,Analysts,0),FALSE),60)</f>
        <v>60</v>
      </c>
      <c r="P464">
        <f>_xlfn.IFNA(VLOOKUP($A464,PredictionTable,MATCH(P$1,Analysts,0),FALSE),60)</f>
        <v>60</v>
      </c>
      <c r="V464" s="7" t="s">
        <v>589</v>
      </c>
    </row>
    <row r="465" spans="1:22" x14ac:dyDescent="0.45">
      <c r="A465" s="1" t="s">
        <v>471</v>
      </c>
      <c r="B465" s="1" t="s">
        <v>343</v>
      </c>
      <c r="C465" s="1">
        <f>INDEX(T_Performances,MATCH($A465,T_Names,0))</f>
        <v>0</v>
      </c>
      <c r="D465">
        <v>26</v>
      </c>
      <c r="E465" s="1">
        <f>INDEX(T_Avg_PPG,MATCH($A465,T_Names,0))</f>
        <v>3.7142857142857144</v>
      </c>
      <c r="F465">
        <f>1+COUNTIFS(T_Total,"&gt;"&amp;D465,T_Pos,$B465)</f>
        <v>129</v>
      </c>
      <c r="G465">
        <f>1+COUNTIFS(T_Avg_PPG,"&gt;"&amp;E465,T_Pos,$B465)</f>
        <v>150</v>
      </c>
      <c r="H465">
        <f>_xlfn.IFNA(VLOOKUP($A465,PredictionTable,MATCH(H$1,Analysts,0),FALSE),60)</f>
        <v>60</v>
      </c>
      <c r="I465">
        <f>_xlfn.IFNA(VLOOKUP($A465,PredictionTable,MATCH(I$1,Analysts,0),FALSE),60)</f>
        <v>60</v>
      </c>
      <c r="J465">
        <f>_xlfn.IFNA(VLOOKUP($A465,PredictionTable,MATCH(J$1,Analysts,0),FALSE),60)</f>
        <v>60</v>
      </c>
      <c r="K465">
        <f>_xlfn.IFNA(VLOOKUP($A465,PredictionTable,MATCH(K$1,Analysts,0),FALSE),60)</f>
        <v>60</v>
      </c>
      <c r="L465">
        <f>_xlfn.IFNA(VLOOKUP($A465,PredictionTable,MATCH(L$1,Analysts,0),FALSE),60)</f>
        <v>60</v>
      </c>
      <c r="M465">
        <f>_xlfn.IFNA(VLOOKUP($A465,PredictionTable,MATCH(M$1,Analysts,0),FALSE),60)</f>
        <v>60</v>
      </c>
      <c r="N465">
        <f>_xlfn.IFNA(VLOOKUP($A465,PredictionTable,MATCH(N$1,Analysts,0),FALSE),60)</f>
        <v>60</v>
      </c>
      <c r="O465">
        <f>_xlfn.IFNA(VLOOKUP($A465,PredictionTable,MATCH(O$1,Analysts,0),FALSE),60)</f>
        <v>60</v>
      </c>
      <c r="P465">
        <f>_xlfn.IFNA(VLOOKUP($A465,PredictionTable,MATCH(P$1,Analysts,0),FALSE),60)</f>
        <v>60</v>
      </c>
      <c r="V465" s="7" t="s">
        <v>589</v>
      </c>
    </row>
    <row r="466" spans="1:22" x14ac:dyDescent="0.45">
      <c r="A466" s="1" t="s">
        <v>472</v>
      </c>
      <c r="B466" s="1" t="s">
        <v>343</v>
      </c>
      <c r="C466" s="1">
        <f>INDEX(T_Performances,MATCH($A466,T_Names,0))</f>
        <v>0</v>
      </c>
      <c r="D466">
        <v>25.8</v>
      </c>
      <c r="E466" s="1">
        <f>INDEX(T_Avg_PPG,MATCH($A466,T_Names,0))</f>
        <v>2.8666666666666667</v>
      </c>
      <c r="F466">
        <f>1+COUNTIFS(T_Total,"&gt;"&amp;D466,T_Pos,$B466)</f>
        <v>130</v>
      </c>
      <c r="G466">
        <f>1+COUNTIFS(T_Avg_PPG,"&gt;"&amp;E466,T_Pos,$B466)</f>
        <v>166</v>
      </c>
      <c r="H466">
        <f>_xlfn.IFNA(VLOOKUP($A466,PredictionTable,MATCH(H$1,Analysts,0),FALSE),60)</f>
        <v>60</v>
      </c>
      <c r="I466">
        <f>_xlfn.IFNA(VLOOKUP($A466,PredictionTable,MATCH(I$1,Analysts,0),FALSE),60)</f>
        <v>60</v>
      </c>
      <c r="J466">
        <f>_xlfn.IFNA(VLOOKUP($A466,PredictionTable,MATCH(J$1,Analysts,0),FALSE),60)</f>
        <v>60</v>
      </c>
      <c r="K466">
        <f>_xlfn.IFNA(VLOOKUP($A466,PredictionTable,MATCH(K$1,Analysts,0),FALSE),60)</f>
        <v>60</v>
      </c>
      <c r="L466">
        <f>_xlfn.IFNA(VLOOKUP($A466,PredictionTable,MATCH(L$1,Analysts,0),FALSE),60)</f>
        <v>60</v>
      </c>
      <c r="M466">
        <f>_xlfn.IFNA(VLOOKUP($A466,PredictionTable,MATCH(M$1,Analysts,0),FALSE),60)</f>
        <v>60</v>
      </c>
      <c r="N466">
        <f>_xlfn.IFNA(VLOOKUP($A466,PredictionTable,MATCH(N$1,Analysts,0),FALSE),60)</f>
        <v>60</v>
      </c>
      <c r="O466">
        <f>_xlfn.IFNA(VLOOKUP($A466,PredictionTable,MATCH(O$1,Analysts,0),FALSE),60)</f>
        <v>60</v>
      </c>
      <c r="P466">
        <f>_xlfn.IFNA(VLOOKUP($A466,PredictionTable,MATCH(P$1,Analysts,0),FALSE),60)</f>
        <v>60</v>
      </c>
      <c r="V466" s="7" t="s">
        <v>589</v>
      </c>
    </row>
    <row r="467" spans="1:22" x14ac:dyDescent="0.45">
      <c r="A467" s="1" t="s">
        <v>473</v>
      </c>
      <c r="B467" s="1" t="s">
        <v>343</v>
      </c>
      <c r="C467" s="1">
        <f>INDEX(T_Performances,MATCH($A467,T_Names,0))</f>
        <v>0</v>
      </c>
      <c r="D467">
        <v>23.7</v>
      </c>
      <c r="E467" s="1">
        <f>INDEX(T_Avg_PPG,MATCH($A467,T_Names,0))</f>
        <v>3.3857142857142857</v>
      </c>
      <c r="F467">
        <f>1+COUNTIFS(T_Total,"&gt;"&amp;D467,T_Pos,$B467)</f>
        <v>131</v>
      </c>
      <c r="G467">
        <f>1+COUNTIFS(T_Avg_PPG,"&gt;"&amp;E467,T_Pos,$B467)</f>
        <v>155</v>
      </c>
      <c r="H467">
        <f>_xlfn.IFNA(VLOOKUP($A467,PredictionTable,MATCH(H$1,Analysts,0),FALSE),60)</f>
        <v>60</v>
      </c>
      <c r="I467">
        <f>_xlfn.IFNA(VLOOKUP($A467,PredictionTable,MATCH(I$1,Analysts,0),FALSE),60)</f>
        <v>60</v>
      </c>
      <c r="J467">
        <f>_xlfn.IFNA(VLOOKUP($A467,PredictionTable,MATCH(J$1,Analysts,0),FALSE),60)</f>
        <v>60</v>
      </c>
      <c r="K467">
        <f>_xlfn.IFNA(VLOOKUP($A467,PredictionTable,MATCH(K$1,Analysts,0),FALSE),60)</f>
        <v>60</v>
      </c>
      <c r="L467">
        <f>_xlfn.IFNA(VLOOKUP($A467,PredictionTable,MATCH(L$1,Analysts,0),FALSE),60)</f>
        <v>60</v>
      </c>
      <c r="M467">
        <f>_xlfn.IFNA(VLOOKUP($A467,PredictionTable,MATCH(M$1,Analysts,0),FALSE),60)</f>
        <v>60</v>
      </c>
      <c r="N467">
        <f>_xlfn.IFNA(VLOOKUP($A467,PredictionTable,MATCH(N$1,Analysts,0),FALSE),60)</f>
        <v>60</v>
      </c>
      <c r="O467">
        <f>_xlfn.IFNA(VLOOKUP($A467,PredictionTable,MATCH(O$1,Analysts,0),FALSE),60)</f>
        <v>60</v>
      </c>
      <c r="P467">
        <f>_xlfn.IFNA(VLOOKUP($A467,PredictionTable,MATCH(P$1,Analysts,0),FALSE),60)</f>
        <v>60</v>
      </c>
      <c r="V467" s="7" t="s">
        <v>589</v>
      </c>
    </row>
    <row r="468" spans="1:22" x14ac:dyDescent="0.45">
      <c r="A468" s="1" t="s">
        <v>474</v>
      </c>
      <c r="B468" s="1" t="s">
        <v>343</v>
      </c>
      <c r="C468" s="1">
        <f>INDEX(T_Performances,MATCH($A468,T_Names,0))</f>
        <v>0</v>
      </c>
      <c r="D468">
        <v>23.2</v>
      </c>
      <c r="E468" s="1">
        <f>INDEX(T_Avg_PPG,MATCH($A468,T_Names,0))</f>
        <v>2.9</v>
      </c>
      <c r="F468">
        <f>1+COUNTIFS(T_Total,"&gt;"&amp;D468,T_Pos,$B468)</f>
        <v>132</v>
      </c>
      <c r="G468">
        <f>1+COUNTIFS(T_Avg_PPG,"&gt;"&amp;E468,T_Pos,$B468)</f>
        <v>165</v>
      </c>
      <c r="H468">
        <f>_xlfn.IFNA(VLOOKUP($A468,PredictionTable,MATCH(H$1,Analysts,0),FALSE),60)</f>
        <v>60</v>
      </c>
      <c r="I468">
        <f>_xlfn.IFNA(VLOOKUP($A468,PredictionTable,MATCH(I$1,Analysts,0),FALSE),60)</f>
        <v>60</v>
      </c>
      <c r="J468">
        <f>_xlfn.IFNA(VLOOKUP($A468,PredictionTable,MATCH(J$1,Analysts,0),FALSE),60)</f>
        <v>60</v>
      </c>
      <c r="K468">
        <f>_xlfn.IFNA(VLOOKUP($A468,PredictionTable,MATCH(K$1,Analysts,0),FALSE),60)</f>
        <v>60</v>
      </c>
      <c r="L468">
        <f>_xlfn.IFNA(VLOOKUP($A468,PredictionTable,MATCH(L$1,Analysts,0),FALSE),60)</f>
        <v>60</v>
      </c>
      <c r="M468">
        <f>_xlfn.IFNA(VLOOKUP($A468,PredictionTable,MATCH(M$1,Analysts,0),FALSE),60)</f>
        <v>60</v>
      </c>
      <c r="N468">
        <f>_xlfn.IFNA(VLOOKUP($A468,PredictionTable,MATCH(N$1,Analysts,0),FALSE),60)</f>
        <v>60</v>
      </c>
      <c r="O468">
        <f>_xlfn.IFNA(VLOOKUP($A468,PredictionTable,MATCH(O$1,Analysts,0),FALSE),60)</f>
        <v>60</v>
      </c>
      <c r="P468">
        <f>_xlfn.IFNA(VLOOKUP($A468,PredictionTable,MATCH(P$1,Analysts,0),FALSE),60)</f>
        <v>60</v>
      </c>
      <c r="V468" s="7" t="s">
        <v>589</v>
      </c>
    </row>
    <row r="469" spans="1:22" x14ac:dyDescent="0.45">
      <c r="A469" s="1" t="s">
        <v>475</v>
      </c>
      <c r="B469" s="1" t="s">
        <v>343</v>
      </c>
      <c r="C469" s="1">
        <f>INDEX(T_Performances,MATCH($A469,T_Names,0))</f>
        <v>1</v>
      </c>
      <c r="D469">
        <v>22.6</v>
      </c>
      <c r="E469" s="1">
        <f>INDEX(T_Avg_PPG,MATCH($A469,T_Names,0))</f>
        <v>4.5200000000000005</v>
      </c>
      <c r="F469">
        <f>1+COUNTIFS(T_Total,"&gt;"&amp;D469,T_Pos,$B469)</f>
        <v>133</v>
      </c>
      <c r="G469">
        <f>1+COUNTIFS(T_Avg_PPG,"&gt;"&amp;E469,T_Pos,$B469)</f>
        <v>130</v>
      </c>
      <c r="H469">
        <f>_xlfn.IFNA(VLOOKUP($A469,PredictionTable,MATCH(H$1,Analysts,0),FALSE),60)</f>
        <v>60</v>
      </c>
      <c r="I469">
        <f>_xlfn.IFNA(VLOOKUP($A469,PredictionTable,MATCH(I$1,Analysts,0),FALSE),60)</f>
        <v>60</v>
      </c>
      <c r="J469">
        <f>_xlfn.IFNA(VLOOKUP($A469,PredictionTable,MATCH(J$1,Analysts,0),FALSE),60)</f>
        <v>60</v>
      </c>
      <c r="K469">
        <f>_xlfn.IFNA(VLOOKUP($A469,PredictionTable,MATCH(K$1,Analysts,0),FALSE),60)</f>
        <v>60</v>
      </c>
      <c r="L469">
        <f>_xlfn.IFNA(VLOOKUP($A469,PredictionTable,MATCH(L$1,Analysts,0),FALSE),60)</f>
        <v>60</v>
      </c>
      <c r="M469">
        <f>_xlfn.IFNA(VLOOKUP($A469,PredictionTable,MATCH(M$1,Analysts,0),FALSE),60)</f>
        <v>60</v>
      </c>
      <c r="N469">
        <f>_xlfn.IFNA(VLOOKUP($A469,PredictionTable,MATCH(N$1,Analysts,0),FALSE),60)</f>
        <v>60</v>
      </c>
      <c r="O469">
        <f>_xlfn.IFNA(VLOOKUP($A469,PredictionTable,MATCH(O$1,Analysts,0),FALSE),60)</f>
        <v>60</v>
      </c>
      <c r="P469">
        <f>_xlfn.IFNA(VLOOKUP($A469,PredictionTable,MATCH(P$1,Analysts,0),FALSE),60)</f>
        <v>60</v>
      </c>
      <c r="V469" s="7" t="s">
        <v>589</v>
      </c>
    </row>
    <row r="470" spans="1:22" x14ac:dyDescent="0.45">
      <c r="A470" s="1" t="s">
        <v>476</v>
      </c>
      <c r="B470" s="1" t="s">
        <v>343</v>
      </c>
      <c r="C470" s="1">
        <f>INDEX(T_Performances,MATCH($A470,T_Names,0))</f>
        <v>1</v>
      </c>
      <c r="D470">
        <v>22.3</v>
      </c>
      <c r="E470" s="1">
        <f>INDEX(T_Avg_PPG,MATCH($A470,T_Names,0))</f>
        <v>7.4333333333333336</v>
      </c>
      <c r="F470">
        <f>1+COUNTIFS(T_Total,"&gt;"&amp;D470,T_Pos,$B470)</f>
        <v>134</v>
      </c>
      <c r="G470">
        <f>1+COUNTIFS(T_Avg_PPG,"&gt;"&amp;E470,T_Pos,$B470)</f>
        <v>76</v>
      </c>
      <c r="H470">
        <f>_xlfn.IFNA(VLOOKUP($A470,PredictionTable,MATCH(H$1,Analysts,0),FALSE),60)</f>
        <v>60</v>
      </c>
      <c r="I470">
        <f>_xlfn.IFNA(VLOOKUP($A470,PredictionTable,MATCH(I$1,Analysts,0),FALSE),60)</f>
        <v>60</v>
      </c>
      <c r="J470">
        <f>_xlfn.IFNA(VLOOKUP($A470,PredictionTable,MATCH(J$1,Analysts,0),FALSE),60)</f>
        <v>60</v>
      </c>
      <c r="K470">
        <f>_xlfn.IFNA(VLOOKUP($A470,PredictionTable,MATCH(K$1,Analysts,0),FALSE),60)</f>
        <v>60</v>
      </c>
      <c r="L470">
        <f>_xlfn.IFNA(VLOOKUP($A470,PredictionTable,MATCH(L$1,Analysts,0),FALSE),60)</f>
        <v>60</v>
      </c>
      <c r="M470">
        <f>_xlfn.IFNA(VLOOKUP($A470,PredictionTable,MATCH(M$1,Analysts,0),FALSE),60)</f>
        <v>60</v>
      </c>
      <c r="N470">
        <f>_xlfn.IFNA(VLOOKUP($A470,PredictionTable,MATCH(N$1,Analysts,0),FALSE),60)</f>
        <v>60</v>
      </c>
      <c r="O470">
        <f>_xlfn.IFNA(VLOOKUP($A470,PredictionTable,MATCH(O$1,Analysts,0),FALSE),60)</f>
        <v>60</v>
      </c>
      <c r="P470">
        <f>_xlfn.IFNA(VLOOKUP($A470,PredictionTable,MATCH(P$1,Analysts,0),FALSE),60)</f>
        <v>60</v>
      </c>
      <c r="V470" s="7" t="s">
        <v>589</v>
      </c>
    </row>
    <row r="471" spans="1:22" x14ac:dyDescent="0.45">
      <c r="A471" s="1" t="s">
        <v>477</v>
      </c>
      <c r="B471" s="1" t="s">
        <v>343</v>
      </c>
      <c r="C471" s="1">
        <f>INDEX(T_Performances,MATCH($A471,T_Names,0))</f>
        <v>1</v>
      </c>
      <c r="D471">
        <v>21.7</v>
      </c>
      <c r="E471" s="1">
        <f>INDEX(T_Avg_PPG,MATCH($A471,T_Names,0))</f>
        <v>7.2333333333333334</v>
      </c>
      <c r="F471">
        <f>1+COUNTIFS(T_Total,"&gt;"&amp;D471,T_Pos,$B471)</f>
        <v>135</v>
      </c>
      <c r="G471">
        <f>1+COUNTIFS(T_Avg_PPG,"&gt;"&amp;E471,T_Pos,$B471)</f>
        <v>78</v>
      </c>
      <c r="H471">
        <f>_xlfn.IFNA(VLOOKUP($A471,PredictionTable,MATCH(H$1,Analysts,0),FALSE),60)</f>
        <v>60</v>
      </c>
      <c r="I471">
        <f>_xlfn.IFNA(VLOOKUP($A471,PredictionTable,MATCH(I$1,Analysts,0),FALSE),60)</f>
        <v>60</v>
      </c>
      <c r="J471">
        <f>_xlfn.IFNA(VLOOKUP($A471,PredictionTable,MATCH(J$1,Analysts,0),FALSE),60)</f>
        <v>60</v>
      </c>
      <c r="K471">
        <f>_xlfn.IFNA(VLOOKUP($A471,PredictionTable,MATCH(K$1,Analysts,0),FALSE),60)</f>
        <v>60</v>
      </c>
      <c r="L471">
        <f>_xlfn.IFNA(VLOOKUP($A471,PredictionTable,MATCH(L$1,Analysts,0),FALSE),60)</f>
        <v>60</v>
      </c>
      <c r="M471">
        <f>_xlfn.IFNA(VLOOKUP($A471,PredictionTable,MATCH(M$1,Analysts,0),FALSE),60)</f>
        <v>60</v>
      </c>
      <c r="N471">
        <f>_xlfn.IFNA(VLOOKUP($A471,PredictionTable,MATCH(N$1,Analysts,0),FALSE),60)</f>
        <v>60</v>
      </c>
      <c r="O471">
        <f>_xlfn.IFNA(VLOOKUP($A471,PredictionTable,MATCH(O$1,Analysts,0),FALSE),60)</f>
        <v>60</v>
      </c>
      <c r="P471">
        <f>_xlfn.IFNA(VLOOKUP($A471,PredictionTable,MATCH(P$1,Analysts,0),FALSE),60)</f>
        <v>60</v>
      </c>
      <c r="V471" s="7" t="s">
        <v>589</v>
      </c>
    </row>
    <row r="472" spans="1:22" x14ac:dyDescent="0.45">
      <c r="A472" s="1" t="s">
        <v>478</v>
      </c>
      <c r="B472" s="1" t="s">
        <v>343</v>
      </c>
      <c r="C472" s="1">
        <f>INDEX(T_Performances,MATCH($A472,T_Names,0))</f>
        <v>0</v>
      </c>
      <c r="D472">
        <v>21.5</v>
      </c>
      <c r="E472" s="1">
        <f>INDEX(T_Avg_PPG,MATCH($A472,T_Names,0))</f>
        <v>3.0714285714285716</v>
      </c>
      <c r="F472">
        <f>1+COUNTIFS(T_Total,"&gt;"&amp;D472,T_Pos,$B472)</f>
        <v>136</v>
      </c>
      <c r="G472">
        <f>1+COUNTIFS(T_Avg_PPG,"&gt;"&amp;E472,T_Pos,$B472)</f>
        <v>162</v>
      </c>
      <c r="H472">
        <f>_xlfn.IFNA(VLOOKUP($A472,PredictionTable,MATCH(H$1,Analysts,0),FALSE),60)</f>
        <v>60</v>
      </c>
      <c r="I472">
        <f>_xlfn.IFNA(VLOOKUP($A472,PredictionTable,MATCH(I$1,Analysts,0),FALSE),60)</f>
        <v>60</v>
      </c>
      <c r="J472">
        <f>_xlfn.IFNA(VLOOKUP($A472,PredictionTable,MATCH(J$1,Analysts,0),FALSE),60)</f>
        <v>60</v>
      </c>
      <c r="K472">
        <f>_xlfn.IFNA(VLOOKUP($A472,PredictionTable,MATCH(K$1,Analysts,0),FALSE),60)</f>
        <v>60</v>
      </c>
      <c r="L472">
        <f>_xlfn.IFNA(VLOOKUP($A472,PredictionTable,MATCH(L$1,Analysts,0),FALSE),60)</f>
        <v>60</v>
      </c>
      <c r="M472">
        <f>_xlfn.IFNA(VLOOKUP($A472,PredictionTable,MATCH(M$1,Analysts,0),FALSE),60)</f>
        <v>60</v>
      </c>
      <c r="N472">
        <f>_xlfn.IFNA(VLOOKUP($A472,PredictionTable,MATCH(N$1,Analysts,0),FALSE),60)</f>
        <v>60</v>
      </c>
      <c r="O472">
        <f>_xlfn.IFNA(VLOOKUP($A472,PredictionTable,MATCH(O$1,Analysts,0),FALSE),60)</f>
        <v>60</v>
      </c>
      <c r="P472">
        <f>_xlfn.IFNA(VLOOKUP($A472,PredictionTable,MATCH(P$1,Analysts,0),FALSE),60)</f>
        <v>60</v>
      </c>
      <c r="V472" s="7" t="s">
        <v>589</v>
      </c>
    </row>
    <row r="473" spans="1:22" x14ac:dyDescent="0.45">
      <c r="A473" s="1" t="s">
        <v>479</v>
      </c>
      <c r="B473" s="1" t="s">
        <v>343</v>
      </c>
      <c r="C473" s="1">
        <f>INDEX(T_Performances,MATCH($A473,T_Names,0))</f>
        <v>0</v>
      </c>
      <c r="D473">
        <v>18.5</v>
      </c>
      <c r="E473" s="1">
        <f>INDEX(T_Avg_PPG,MATCH($A473,T_Names,0))</f>
        <v>2.6428571428571428</v>
      </c>
      <c r="F473">
        <f>1+COUNTIFS(T_Total,"&gt;"&amp;D473,T_Pos,$B473)</f>
        <v>137</v>
      </c>
      <c r="G473">
        <f>1+COUNTIFS(T_Avg_PPG,"&gt;"&amp;E473,T_Pos,$B473)</f>
        <v>172</v>
      </c>
      <c r="H473">
        <f>_xlfn.IFNA(VLOOKUP($A473,PredictionTable,MATCH(H$1,Analysts,0),FALSE),60)</f>
        <v>60</v>
      </c>
      <c r="I473">
        <f>_xlfn.IFNA(VLOOKUP($A473,PredictionTable,MATCH(I$1,Analysts,0),FALSE),60)</f>
        <v>60</v>
      </c>
      <c r="J473">
        <f>_xlfn.IFNA(VLOOKUP($A473,PredictionTable,MATCH(J$1,Analysts,0),FALSE),60)</f>
        <v>60</v>
      </c>
      <c r="K473">
        <f>_xlfn.IFNA(VLOOKUP($A473,PredictionTable,MATCH(K$1,Analysts,0),FALSE),60)</f>
        <v>60</v>
      </c>
      <c r="L473">
        <f>_xlfn.IFNA(VLOOKUP($A473,PredictionTable,MATCH(L$1,Analysts,0),FALSE),60)</f>
        <v>60</v>
      </c>
      <c r="M473">
        <f>_xlfn.IFNA(VLOOKUP($A473,PredictionTable,MATCH(M$1,Analysts,0),FALSE),60)</f>
        <v>60</v>
      </c>
      <c r="N473">
        <f>_xlfn.IFNA(VLOOKUP($A473,PredictionTable,MATCH(N$1,Analysts,0),FALSE),60)</f>
        <v>60</v>
      </c>
      <c r="O473">
        <f>_xlfn.IFNA(VLOOKUP($A473,PredictionTable,MATCH(O$1,Analysts,0),FALSE),60)</f>
        <v>60</v>
      </c>
      <c r="P473">
        <f>_xlfn.IFNA(VLOOKUP($A473,PredictionTable,MATCH(P$1,Analysts,0),FALSE),60)</f>
        <v>60</v>
      </c>
      <c r="V473" s="7" t="s">
        <v>589</v>
      </c>
    </row>
    <row r="474" spans="1:22" x14ac:dyDescent="0.45">
      <c r="A474" s="1" t="s">
        <v>480</v>
      </c>
      <c r="B474" s="1" t="s">
        <v>343</v>
      </c>
      <c r="C474" s="1">
        <f>INDEX(T_Performances,MATCH($A474,T_Names,0))</f>
        <v>0</v>
      </c>
      <c r="D474">
        <v>18.3</v>
      </c>
      <c r="E474" s="1">
        <f>INDEX(T_Avg_PPG,MATCH($A474,T_Names,0))</f>
        <v>2.2875000000000001</v>
      </c>
      <c r="F474">
        <f>1+COUNTIFS(T_Total,"&gt;"&amp;D474,T_Pos,$B474)</f>
        <v>138</v>
      </c>
      <c r="G474">
        <f>1+COUNTIFS(T_Avg_PPG,"&gt;"&amp;E474,T_Pos,$B474)</f>
        <v>181</v>
      </c>
      <c r="H474">
        <f>_xlfn.IFNA(VLOOKUP($A474,PredictionTable,MATCH(H$1,Analysts,0),FALSE),60)</f>
        <v>60</v>
      </c>
      <c r="I474">
        <f>_xlfn.IFNA(VLOOKUP($A474,PredictionTable,MATCH(I$1,Analysts,0),FALSE),60)</f>
        <v>60</v>
      </c>
      <c r="J474">
        <f>_xlfn.IFNA(VLOOKUP($A474,PredictionTable,MATCH(J$1,Analysts,0),FALSE),60)</f>
        <v>60</v>
      </c>
      <c r="K474">
        <f>_xlfn.IFNA(VLOOKUP($A474,PredictionTable,MATCH(K$1,Analysts,0),FALSE),60)</f>
        <v>60</v>
      </c>
      <c r="L474">
        <f>_xlfn.IFNA(VLOOKUP($A474,PredictionTable,MATCH(L$1,Analysts,0),FALSE),60)</f>
        <v>60</v>
      </c>
      <c r="M474">
        <f>_xlfn.IFNA(VLOOKUP($A474,PredictionTable,MATCH(M$1,Analysts,0),FALSE),60)</f>
        <v>60</v>
      </c>
      <c r="N474">
        <f>_xlfn.IFNA(VLOOKUP($A474,PredictionTable,MATCH(N$1,Analysts,0),FALSE),60)</f>
        <v>60</v>
      </c>
      <c r="O474">
        <f>_xlfn.IFNA(VLOOKUP($A474,PredictionTable,MATCH(O$1,Analysts,0),FALSE),60)</f>
        <v>60</v>
      </c>
      <c r="P474">
        <f>_xlfn.IFNA(VLOOKUP($A474,PredictionTable,MATCH(P$1,Analysts,0),FALSE),60)</f>
        <v>60</v>
      </c>
      <c r="V474" s="7" t="s">
        <v>589</v>
      </c>
    </row>
    <row r="475" spans="1:22" x14ac:dyDescent="0.45">
      <c r="A475" s="1" t="s">
        <v>481</v>
      </c>
      <c r="B475" s="1" t="s">
        <v>343</v>
      </c>
      <c r="C475" s="1">
        <f>INDEX(T_Performances,MATCH($A475,T_Names,0))</f>
        <v>1</v>
      </c>
      <c r="D475">
        <v>18.2</v>
      </c>
      <c r="E475" s="1">
        <f>INDEX(T_Avg_PPG,MATCH($A475,T_Names,0))</f>
        <v>4.55</v>
      </c>
      <c r="F475">
        <f>1+COUNTIFS(T_Total,"&gt;"&amp;D475,T_Pos,$B475)</f>
        <v>139</v>
      </c>
      <c r="G475">
        <f>1+COUNTIFS(T_Avg_PPG,"&gt;"&amp;E475,T_Pos,$B475)</f>
        <v>127</v>
      </c>
      <c r="H475">
        <f>_xlfn.IFNA(VLOOKUP($A475,PredictionTable,MATCH(H$1,Analysts,0),FALSE),60)</f>
        <v>60</v>
      </c>
      <c r="I475">
        <f>_xlfn.IFNA(VLOOKUP($A475,PredictionTable,MATCH(I$1,Analysts,0),FALSE),60)</f>
        <v>60</v>
      </c>
      <c r="J475">
        <f>_xlfn.IFNA(VLOOKUP($A475,PredictionTable,MATCH(J$1,Analysts,0),FALSE),60)</f>
        <v>60</v>
      </c>
      <c r="K475">
        <f>_xlfn.IFNA(VLOOKUP($A475,PredictionTable,MATCH(K$1,Analysts,0),FALSE),60)</f>
        <v>60</v>
      </c>
      <c r="L475">
        <f>_xlfn.IFNA(VLOOKUP($A475,PredictionTable,MATCH(L$1,Analysts,0),FALSE),60)</f>
        <v>60</v>
      </c>
      <c r="M475">
        <f>_xlfn.IFNA(VLOOKUP($A475,PredictionTable,MATCH(M$1,Analysts,0),FALSE),60)</f>
        <v>60</v>
      </c>
      <c r="N475">
        <f>_xlfn.IFNA(VLOOKUP($A475,PredictionTable,MATCH(N$1,Analysts,0),FALSE),60)</f>
        <v>60</v>
      </c>
      <c r="O475">
        <f>_xlfn.IFNA(VLOOKUP($A475,PredictionTable,MATCH(O$1,Analysts,0),FALSE),60)</f>
        <v>60</v>
      </c>
      <c r="P475">
        <f>_xlfn.IFNA(VLOOKUP($A475,PredictionTable,MATCH(P$1,Analysts,0),FALSE),60)</f>
        <v>60</v>
      </c>
      <c r="V475" s="7" t="s">
        <v>589</v>
      </c>
    </row>
    <row r="476" spans="1:22" x14ac:dyDescent="0.45">
      <c r="A476" s="1" t="s">
        <v>482</v>
      </c>
      <c r="B476" s="1" t="s">
        <v>343</v>
      </c>
      <c r="C476" s="1">
        <f>INDEX(T_Performances,MATCH($A476,T_Names,0))</f>
        <v>0</v>
      </c>
      <c r="D476">
        <v>17.7</v>
      </c>
      <c r="E476" s="1">
        <f>INDEX(T_Avg_PPG,MATCH($A476,T_Names,0))</f>
        <v>2.5285714285714285</v>
      </c>
      <c r="F476">
        <f>1+COUNTIFS(T_Total,"&gt;"&amp;D476,T_Pos,$B476)</f>
        <v>140</v>
      </c>
      <c r="G476">
        <f>1+COUNTIFS(T_Avg_PPG,"&gt;"&amp;E476,T_Pos,$B476)</f>
        <v>175</v>
      </c>
      <c r="H476">
        <f>_xlfn.IFNA(VLOOKUP($A476,PredictionTable,MATCH(H$1,Analysts,0),FALSE),60)</f>
        <v>60</v>
      </c>
      <c r="I476">
        <f>_xlfn.IFNA(VLOOKUP($A476,PredictionTable,MATCH(I$1,Analysts,0),FALSE),60)</f>
        <v>60</v>
      </c>
      <c r="J476">
        <f>_xlfn.IFNA(VLOOKUP($A476,PredictionTable,MATCH(J$1,Analysts,0),FALSE),60)</f>
        <v>60</v>
      </c>
      <c r="K476">
        <f>_xlfn.IFNA(VLOOKUP($A476,PredictionTable,MATCH(K$1,Analysts,0),FALSE),60)</f>
        <v>60</v>
      </c>
      <c r="L476">
        <f>_xlfn.IFNA(VLOOKUP($A476,PredictionTable,MATCH(L$1,Analysts,0),FALSE),60)</f>
        <v>60</v>
      </c>
      <c r="M476">
        <f>_xlfn.IFNA(VLOOKUP($A476,PredictionTable,MATCH(M$1,Analysts,0),FALSE),60)</f>
        <v>60</v>
      </c>
      <c r="N476">
        <f>_xlfn.IFNA(VLOOKUP($A476,PredictionTable,MATCH(N$1,Analysts,0),FALSE),60)</f>
        <v>60</v>
      </c>
      <c r="O476">
        <f>_xlfn.IFNA(VLOOKUP($A476,PredictionTable,MATCH(O$1,Analysts,0),FALSE),60)</f>
        <v>60</v>
      </c>
      <c r="P476">
        <f>_xlfn.IFNA(VLOOKUP($A476,PredictionTable,MATCH(P$1,Analysts,0),FALSE),60)</f>
        <v>60</v>
      </c>
      <c r="V476" s="7" t="s">
        <v>589</v>
      </c>
    </row>
    <row r="477" spans="1:22" x14ac:dyDescent="0.45">
      <c r="A477" s="1" t="s">
        <v>483</v>
      </c>
      <c r="B477" s="1" t="s">
        <v>343</v>
      </c>
      <c r="C477" s="1">
        <f>INDEX(T_Performances,MATCH($A477,T_Names,0))</f>
        <v>0</v>
      </c>
      <c r="D477">
        <v>16.899999999999999</v>
      </c>
      <c r="E477" s="1">
        <f>INDEX(T_Avg_PPG,MATCH($A477,T_Names,0))</f>
        <v>2.8166666666666664</v>
      </c>
      <c r="F477">
        <f>1+COUNTIFS(T_Total,"&gt;"&amp;D477,T_Pos,$B477)</f>
        <v>141</v>
      </c>
      <c r="G477">
        <f>1+COUNTIFS(T_Avg_PPG,"&gt;"&amp;E477,T_Pos,$B477)</f>
        <v>169</v>
      </c>
      <c r="H477">
        <f>_xlfn.IFNA(VLOOKUP($A477,PredictionTable,MATCH(H$1,Analysts,0),FALSE),60)</f>
        <v>60</v>
      </c>
      <c r="I477">
        <f>_xlfn.IFNA(VLOOKUP($A477,PredictionTable,MATCH(I$1,Analysts,0),FALSE),60)</f>
        <v>60</v>
      </c>
      <c r="J477">
        <f>_xlfn.IFNA(VLOOKUP($A477,PredictionTable,MATCH(J$1,Analysts,0),FALSE),60)</f>
        <v>60</v>
      </c>
      <c r="K477">
        <f>_xlfn.IFNA(VLOOKUP($A477,PredictionTable,MATCH(K$1,Analysts,0),FALSE),60)</f>
        <v>60</v>
      </c>
      <c r="L477">
        <f>_xlfn.IFNA(VLOOKUP($A477,PredictionTable,MATCH(L$1,Analysts,0),FALSE),60)</f>
        <v>60</v>
      </c>
      <c r="M477">
        <f>_xlfn.IFNA(VLOOKUP($A477,PredictionTable,MATCH(M$1,Analysts,0),FALSE),60)</f>
        <v>60</v>
      </c>
      <c r="N477">
        <f>_xlfn.IFNA(VLOOKUP($A477,PredictionTable,MATCH(N$1,Analysts,0),FALSE),60)</f>
        <v>60</v>
      </c>
      <c r="O477">
        <f>_xlfn.IFNA(VLOOKUP($A477,PredictionTable,MATCH(O$1,Analysts,0),FALSE),60)</f>
        <v>60</v>
      </c>
      <c r="P477">
        <f>_xlfn.IFNA(VLOOKUP($A477,PredictionTable,MATCH(P$1,Analysts,0),FALSE),60)</f>
        <v>60</v>
      </c>
      <c r="V477" s="7" t="s">
        <v>589</v>
      </c>
    </row>
    <row r="478" spans="1:22" x14ac:dyDescent="0.45">
      <c r="A478" s="1" t="s">
        <v>484</v>
      </c>
      <c r="B478" s="1" t="s">
        <v>343</v>
      </c>
      <c r="C478" s="1">
        <f>INDEX(T_Performances,MATCH($A478,T_Names,0))</f>
        <v>0</v>
      </c>
      <c r="D478">
        <v>16.899999999999999</v>
      </c>
      <c r="E478" s="1">
        <f>INDEX(T_Avg_PPG,MATCH($A478,T_Names,0))</f>
        <v>2.8166666666666664</v>
      </c>
      <c r="F478">
        <f>1+COUNTIFS(T_Total,"&gt;"&amp;D478,T_Pos,$B478)</f>
        <v>141</v>
      </c>
      <c r="G478">
        <f>1+COUNTIFS(T_Avg_PPG,"&gt;"&amp;E478,T_Pos,$B478)</f>
        <v>169</v>
      </c>
      <c r="H478">
        <f>_xlfn.IFNA(VLOOKUP($A478,PredictionTable,MATCH(H$1,Analysts,0),FALSE),60)</f>
        <v>60</v>
      </c>
      <c r="I478">
        <f>_xlfn.IFNA(VLOOKUP($A478,PredictionTable,MATCH(I$1,Analysts,0),FALSE),60)</f>
        <v>60</v>
      </c>
      <c r="J478">
        <f>_xlfn.IFNA(VLOOKUP($A478,PredictionTable,MATCH(J$1,Analysts,0),FALSE),60)</f>
        <v>60</v>
      </c>
      <c r="K478">
        <f>_xlfn.IFNA(VLOOKUP($A478,PredictionTable,MATCH(K$1,Analysts,0),FALSE),60)</f>
        <v>60</v>
      </c>
      <c r="L478">
        <f>_xlfn.IFNA(VLOOKUP($A478,PredictionTable,MATCH(L$1,Analysts,0),FALSE),60)</f>
        <v>60</v>
      </c>
      <c r="M478">
        <f>_xlfn.IFNA(VLOOKUP($A478,PredictionTable,MATCH(M$1,Analysts,0),FALSE),60)</f>
        <v>60</v>
      </c>
      <c r="N478">
        <f>_xlfn.IFNA(VLOOKUP($A478,PredictionTable,MATCH(N$1,Analysts,0),FALSE),60)</f>
        <v>60</v>
      </c>
      <c r="O478">
        <f>_xlfn.IFNA(VLOOKUP($A478,PredictionTable,MATCH(O$1,Analysts,0),FALSE),60)</f>
        <v>60</v>
      </c>
      <c r="P478">
        <f>_xlfn.IFNA(VLOOKUP($A478,PredictionTable,MATCH(P$1,Analysts,0),FALSE),60)</f>
        <v>60</v>
      </c>
      <c r="V478" s="7" t="s">
        <v>589</v>
      </c>
    </row>
    <row r="479" spans="1:22" x14ac:dyDescent="0.45">
      <c r="A479" s="1" t="s">
        <v>485</v>
      </c>
      <c r="B479" s="1" t="s">
        <v>343</v>
      </c>
      <c r="C479" s="1">
        <f>INDEX(T_Performances,MATCH($A479,T_Names,0))</f>
        <v>0</v>
      </c>
      <c r="D479">
        <v>15.2</v>
      </c>
      <c r="E479" s="1">
        <f>INDEX(T_Avg_PPG,MATCH($A479,T_Names,0))</f>
        <v>5.0666666666666664</v>
      </c>
      <c r="F479">
        <f>1+COUNTIFS(T_Total,"&gt;"&amp;D479,T_Pos,$B479)</f>
        <v>143</v>
      </c>
      <c r="G479">
        <f>1+COUNTIFS(T_Avg_PPG,"&gt;"&amp;E479,T_Pos,$B479)</f>
        <v>120</v>
      </c>
      <c r="H479">
        <f>_xlfn.IFNA(VLOOKUP($A479,PredictionTable,MATCH(H$1,Analysts,0),FALSE),60)</f>
        <v>60</v>
      </c>
      <c r="I479">
        <f>_xlfn.IFNA(VLOOKUP($A479,PredictionTable,MATCH(I$1,Analysts,0),FALSE),60)</f>
        <v>60</v>
      </c>
      <c r="J479">
        <f>_xlfn.IFNA(VLOOKUP($A479,PredictionTable,MATCH(J$1,Analysts,0),FALSE),60)</f>
        <v>60</v>
      </c>
      <c r="K479">
        <f>_xlfn.IFNA(VLOOKUP($A479,PredictionTable,MATCH(K$1,Analysts,0),FALSE),60)</f>
        <v>60</v>
      </c>
      <c r="L479">
        <f>_xlfn.IFNA(VLOOKUP($A479,PredictionTable,MATCH(L$1,Analysts,0),FALSE),60)</f>
        <v>60</v>
      </c>
      <c r="M479">
        <f>_xlfn.IFNA(VLOOKUP($A479,PredictionTable,MATCH(M$1,Analysts,0),FALSE),60)</f>
        <v>60</v>
      </c>
      <c r="N479">
        <f>_xlfn.IFNA(VLOOKUP($A479,PredictionTable,MATCH(N$1,Analysts,0),FALSE),60)</f>
        <v>60</v>
      </c>
      <c r="O479">
        <f>_xlfn.IFNA(VLOOKUP($A479,PredictionTable,MATCH(O$1,Analysts,0),FALSE),60)</f>
        <v>60</v>
      </c>
      <c r="P479">
        <f>_xlfn.IFNA(VLOOKUP($A479,PredictionTable,MATCH(P$1,Analysts,0),FALSE),60)</f>
        <v>60</v>
      </c>
      <c r="V479" s="7" t="s">
        <v>589</v>
      </c>
    </row>
    <row r="480" spans="1:22" x14ac:dyDescent="0.45">
      <c r="A480" s="1" t="s">
        <v>486</v>
      </c>
      <c r="B480" s="1" t="s">
        <v>343</v>
      </c>
      <c r="C480" s="1">
        <f>INDEX(T_Performances,MATCH($A480,T_Names,0))</f>
        <v>1</v>
      </c>
      <c r="D480">
        <v>14.2</v>
      </c>
      <c r="E480" s="1">
        <f>INDEX(T_Avg_PPG,MATCH($A480,T_Names,0))</f>
        <v>7.1</v>
      </c>
      <c r="F480">
        <f>1+COUNTIFS(T_Total,"&gt;"&amp;D480,T_Pos,$B480)</f>
        <v>144</v>
      </c>
      <c r="G480">
        <f>1+COUNTIFS(T_Avg_PPG,"&gt;"&amp;E480,T_Pos,$B480)</f>
        <v>83</v>
      </c>
      <c r="H480">
        <f>_xlfn.IFNA(VLOOKUP($A480,PredictionTable,MATCH(H$1,Analysts,0),FALSE),60)</f>
        <v>60</v>
      </c>
      <c r="I480">
        <f>_xlfn.IFNA(VLOOKUP($A480,PredictionTable,MATCH(I$1,Analysts,0),FALSE),60)</f>
        <v>60</v>
      </c>
      <c r="J480">
        <f>_xlfn.IFNA(VLOOKUP($A480,PredictionTable,MATCH(J$1,Analysts,0),FALSE),60)</f>
        <v>60</v>
      </c>
      <c r="K480">
        <f>_xlfn.IFNA(VLOOKUP($A480,PredictionTable,MATCH(K$1,Analysts,0),FALSE),60)</f>
        <v>60</v>
      </c>
      <c r="L480">
        <f>_xlfn.IFNA(VLOOKUP($A480,PredictionTable,MATCH(L$1,Analysts,0),FALSE),60)</f>
        <v>60</v>
      </c>
      <c r="M480">
        <f>_xlfn.IFNA(VLOOKUP($A480,PredictionTable,MATCH(M$1,Analysts,0),FALSE),60)</f>
        <v>60</v>
      </c>
      <c r="N480">
        <f>_xlfn.IFNA(VLOOKUP($A480,PredictionTable,MATCH(N$1,Analysts,0),FALSE),60)</f>
        <v>60</v>
      </c>
      <c r="O480">
        <f>_xlfn.IFNA(VLOOKUP($A480,PredictionTable,MATCH(O$1,Analysts,0),FALSE),60)</f>
        <v>60</v>
      </c>
      <c r="P480">
        <f>_xlfn.IFNA(VLOOKUP($A480,PredictionTable,MATCH(P$1,Analysts,0),FALSE),60)</f>
        <v>60</v>
      </c>
      <c r="V480" s="7" t="s">
        <v>589</v>
      </c>
    </row>
    <row r="481" spans="1:22" x14ac:dyDescent="0.45">
      <c r="A481" s="1" t="s">
        <v>487</v>
      </c>
      <c r="B481" s="1" t="s">
        <v>343</v>
      </c>
      <c r="C481" s="1">
        <f>INDEX(T_Performances,MATCH($A481,T_Names,0))</f>
        <v>0</v>
      </c>
      <c r="D481">
        <v>13.7</v>
      </c>
      <c r="E481" s="1">
        <f>INDEX(T_Avg_PPG,MATCH($A481,T_Names,0))</f>
        <v>4.5666666666666664</v>
      </c>
      <c r="F481">
        <f>1+COUNTIFS(T_Total,"&gt;"&amp;D481,T_Pos,$B481)</f>
        <v>145</v>
      </c>
      <c r="G481">
        <f>1+COUNTIFS(T_Avg_PPG,"&gt;"&amp;E481,T_Pos,$B481)</f>
        <v>126</v>
      </c>
      <c r="H481">
        <f>_xlfn.IFNA(VLOOKUP($A481,PredictionTable,MATCH(H$1,Analysts,0),FALSE),60)</f>
        <v>60</v>
      </c>
      <c r="I481">
        <f>_xlfn.IFNA(VLOOKUP($A481,PredictionTable,MATCH(I$1,Analysts,0),FALSE),60)</f>
        <v>60</v>
      </c>
      <c r="J481">
        <f>_xlfn.IFNA(VLOOKUP($A481,PredictionTable,MATCH(J$1,Analysts,0),FALSE),60)</f>
        <v>60</v>
      </c>
      <c r="K481">
        <f>_xlfn.IFNA(VLOOKUP($A481,PredictionTable,MATCH(K$1,Analysts,0),FALSE),60)</f>
        <v>60</v>
      </c>
      <c r="L481">
        <f>_xlfn.IFNA(VLOOKUP($A481,PredictionTable,MATCH(L$1,Analysts,0),FALSE),60)</f>
        <v>60</v>
      </c>
      <c r="M481">
        <f>_xlfn.IFNA(VLOOKUP($A481,PredictionTable,MATCH(M$1,Analysts,0),FALSE),60)</f>
        <v>60</v>
      </c>
      <c r="N481">
        <f>_xlfn.IFNA(VLOOKUP($A481,PredictionTable,MATCH(N$1,Analysts,0),FALSE),60)</f>
        <v>60</v>
      </c>
      <c r="O481">
        <f>_xlfn.IFNA(VLOOKUP($A481,PredictionTable,MATCH(O$1,Analysts,0),FALSE),60)</f>
        <v>60</v>
      </c>
      <c r="P481">
        <f>_xlfn.IFNA(VLOOKUP($A481,PredictionTable,MATCH(P$1,Analysts,0),FALSE),60)</f>
        <v>60</v>
      </c>
      <c r="V481" s="7" t="s">
        <v>589</v>
      </c>
    </row>
    <row r="482" spans="1:22" x14ac:dyDescent="0.45">
      <c r="A482" s="1" t="s">
        <v>488</v>
      </c>
      <c r="B482" s="1" t="s">
        <v>343</v>
      </c>
      <c r="C482" s="1">
        <f>INDEX(T_Performances,MATCH($A482,T_Names,0))</f>
        <v>0</v>
      </c>
      <c r="D482">
        <v>13.6</v>
      </c>
      <c r="E482" s="1">
        <f>INDEX(T_Avg_PPG,MATCH($A482,T_Names,0))</f>
        <v>4.5333333333333332</v>
      </c>
      <c r="F482">
        <f>1+COUNTIFS(T_Total,"&gt;"&amp;D482,T_Pos,$B482)</f>
        <v>146</v>
      </c>
      <c r="G482">
        <f>1+COUNTIFS(T_Avg_PPG,"&gt;"&amp;E482,T_Pos,$B482)</f>
        <v>128</v>
      </c>
      <c r="H482">
        <f>_xlfn.IFNA(VLOOKUP($A482,PredictionTable,MATCH(H$1,Analysts,0),FALSE),60)</f>
        <v>60</v>
      </c>
      <c r="I482">
        <f>_xlfn.IFNA(VLOOKUP($A482,PredictionTable,MATCH(I$1,Analysts,0),FALSE),60)</f>
        <v>60</v>
      </c>
      <c r="J482">
        <f>_xlfn.IFNA(VLOOKUP($A482,PredictionTable,MATCH(J$1,Analysts,0),FALSE),60)</f>
        <v>60</v>
      </c>
      <c r="K482">
        <f>_xlfn.IFNA(VLOOKUP($A482,PredictionTable,MATCH(K$1,Analysts,0),FALSE),60)</f>
        <v>60</v>
      </c>
      <c r="L482">
        <f>_xlfn.IFNA(VLOOKUP($A482,PredictionTable,MATCH(L$1,Analysts,0),FALSE),60)</f>
        <v>60</v>
      </c>
      <c r="M482">
        <f>_xlfn.IFNA(VLOOKUP($A482,PredictionTable,MATCH(M$1,Analysts,0),FALSE),60)</f>
        <v>60</v>
      </c>
      <c r="N482">
        <f>_xlfn.IFNA(VLOOKUP($A482,PredictionTable,MATCH(N$1,Analysts,0),FALSE),60)</f>
        <v>60</v>
      </c>
      <c r="O482">
        <f>_xlfn.IFNA(VLOOKUP($A482,PredictionTable,MATCH(O$1,Analysts,0),FALSE),60)</f>
        <v>60</v>
      </c>
      <c r="P482">
        <f>_xlfn.IFNA(VLOOKUP($A482,PredictionTable,MATCH(P$1,Analysts,0),FALSE),60)</f>
        <v>60</v>
      </c>
      <c r="V482" s="7" t="s">
        <v>589</v>
      </c>
    </row>
    <row r="483" spans="1:22" x14ac:dyDescent="0.45">
      <c r="A483" s="1" t="s">
        <v>489</v>
      </c>
      <c r="B483" s="1" t="s">
        <v>343</v>
      </c>
      <c r="C483" s="1">
        <f>INDEX(T_Performances,MATCH($A483,T_Names,0))</f>
        <v>0</v>
      </c>
      <c r="D483">
        <v>13.6</v>
      </c>
      <c r="E483" s="1">
        <f>INDEX(T_Avg_PPG,MATCH($A483,T_Names,0))</f>
        <v>6.8</v>
      </c>
      <c r="F483">
        <f>1+COUNTIFS(T_Total,"&gt;"&amp;D483,T_Pos,$B483)</f>
        <v>146</v>
      </c>
      <c r="G483">
        <f>1+COUNTIFS(T_Avg_PPG,"&gt;"&amp;E483,T_Pos,$B483)</f>
        <v>88</v>
      </c>
      <c r="H483">
        <f>_xlfn.IFNA(VLOOKUP($A483,PredictionTable,MATCH(H$1,Analysts,0),FALSE),60)</f>
        <v>46</v>
      </c>
      <c r="I483">
        <f>_xlfn.IFNA(VLOOKUP($A483,PredictionTable,MATCH(I$1,Analysts,0),FALSE),60)</f>
        <v>49</v>
      </c>
      <c r="J483">
        <f>_xlfn.IFNA(VLOOKUP($A483,PredictionTable,MATCH(J$1,Analysts,0),FALSE),60)</f>
        <v>44</v>
      </c>
      <c r="K483">
        <f>_xlfn.IFNA(VLOOKUP($A483,PredictionTable,MATCH(K$1,Analysts,0),FALSE),60)</f>
        <v>35</v>
      </c>
      <c r="L483">
        <f>_xlfn.IFNA(VLOOKUP($A483,PredictionTable,MATCH(L$1,Analysts,0),FALSE),60)</f>
        <v>49</v>
      </c>
      <c r="M483">
        <f>_xlfn.IFNA(VLOOKUP($A483,PredictionTable,MATCH(M$1,Analysts,0),FALSE),60)</f>
        <v>44</v>
      </c>
      <c r="N483">
        <f>_xlfn.IFNA(VLOOKUP($A483,PredictionTable,MATCH(N$1,Analysts,0),FALSE),60)</f>
        <v>37</v>
      </c>
      <c r="O483">
        <f>_xlfn.IFNA(VLOOKUP($A483,PredictionTable,MATCH(O$1,Analysts,0),FALSE),60)</f>
        <v>44</v>
      </c>
      <c r="P483">
        <f>_xlfn.IFNA(VLOOKUP($A483,PredictionTable,MATCH(P$1,Analysts,0),FALSE),60)</f>
        <v>43.5</v>
      </c>
      <c r="V483" s="7" t="s">
        <v>589</v>
      </c>
    </row>
    <row r="484" spans="1:22" x14ac:dyDescent="0.45">
      <c r="A484" s="1" t="s">
        <v>490</v>
      </c>
      <c r="B484" s="1" t="s">
        <v>343</v>
      </c>
      <c r="C484" s="1">
        <f>INDEX(T_Performances,MATCH($A484,T_Names,0))</f>
        <v>1</v>
      </c>
      <c r="D484">
        <v>13.4</v>
      </c>
      <c r="E484" s="1">
        <f>INDEX(T_Avg_PPG,MATCH($A484,T_Names,0))</f>
        <v>13.4</v>
      </c>
      <c r="F484">
        <f>1+COUNTIFS(T_Total,"&gt;"&amp;D484,T_Pos,$B484)</f>
        <v>148</v>
      </c>
      <c r="G484">
        <f>1+COUNTIFS(T_Avg_PPG,"&gt;"&amp;E484,T_Pos,$B484)</f>
        <v>19</v>
      </c>
      <c r="H484">
        <f>_xlfn.IFNA(VLOOKUP($A484,PredictionTable,MATCH(H$1,Analysts,0),FALSE),60)</f>
        <v>60</v>
      </c>
      <c r="I484">
        <f>_xlfn.IFNA(VLOOKUP($A484,PredictionTable,MATCH(I$1,Analysts,0),FALSE),60)</f>
        <v>60</v>
      </c>
      <c r="J484">
        <f>_xlfn.IFNA(VLOOKUP($A484,PredictionTable,MATCH(J$1,Analysts,0),FALSE),60)</f>
        <v>60</v>
      </c>
      <c r="K484">
        <f>_xlfn.IFNA(VLOOKUP($A484,PredictionTable,MATCH(K$1,Analysts,0),FALSE),60)</f>
        <v>60</v>
      </c>
      <c r="L484">
        <f>_xlfn.IFNA(VLOOKUP($A484,PredictionTable,MATCH(L$1,Analysts,0),FALSE),60)</f>
        <v>60</v>
      </c>
      <c r="M484">
        <f>_xlfn.IFNA(VLOOKUP($A484,PredictionTable,MATCH(M$1,Analysts,0),FALSE),60)</f>
        <v>60</v>
      </c>
      <c r="N484">
        <f>_xlfn.IFNA(VLOOKUP($A484,PredictionTable,MATCH(N$1,Analysts,0),FALSE),60)</f>
        <v>60</v>
      </c>
      <c r="O484">
        <f>_xlfn.IFNA(VLOOKUP($A484,PredictionTable,MATCH(O$1,Analysts,0),FALSE),60)</f>
        <v>60</v>
      </c>
      <c r="P484">
        <f>_xlfn.IFNA(VLOOKUP($A484,PredictionTable,MATCH(P$1,Analysts,0),FALSE),60)</f>
        <v>60</v>
      </c>
      <c r="V484" s="7" t="s">
        <v>589</v>
      </c>
    </row>
    <row r="485" spans="1:22" x14ac:dyDescent="0.45">
      <c r="A485" s="1" t="s">
        <v>491</v>
      </c>
      <c r="B485" s="1" t="s">
        <v>343</v>
      </c>
      <c r="C485" s="1">
        <f>INDEX(T_Performances,MATCH($A485,T_Names,0))</f>
        <v>0</v>
      </c>
      <c r="D485">
        <v>13.2</v>
      </c>
      <c r="E485" s="1">
        <f>INDEX(T_Avg_PPG,MATCH($A485,T_Names,0))</f>
        <v>3.3</v>
      </c>
      <c r="F485">
        <f>1+COUNTIFS(T_Total,"&gt;"&amp;D485,T_Pos,$B485)</f>
        <v>149</v>
      </c>
      <c r="G485">
        <f>1+COUNTIFS(T_Avg_PPG,"&gt;"&amp;E485,T_Pos,$B485)</f>
        <v>158</v>
      </c>
      <c r="H485">
        <f>_xlfn.IFNA(VLOOKUP($A485,PredictionTable,MATCH(H$1,Analysts,0),FALSE),60)</f>
        <v>60</v>
      </c>
      <c r="I485">
        <f>_xlfn.IFNA(VLOOKUP($A485,PredictionTable,MATCH(I$1,Analysts,0),FALSE),60)</f>
        <v>60</v>
      </c>
      <c r="J485">
        <f>_xlfn.IFNA(VLOOKUP($A485,PredictionTable,MATCH(J$1,Analysts,0),FALSE),60)</f>
        <v>60</v>
      </c>
      <c r="K485">
        <f>_xlfn.IFNA(VLOOKUP($A485,PredictionTable,MATCH(K$1,Analysts,0),FALSE),60)</f>
        <v>60</v>
      </c>
      <c r="L485">
        <f>_xlfn.IFNA(VLOOKUP($A485,PredictionTable,MATCH(L$1,Analysts,0),FALSE),60)</f>
        <v>60</v>
      </c>
      <c r="M485">
        <f>_xlfn.IFNA(VLOOKUP($A485,PredictionTable,MATCH(M$1,Analysts,0),FALSE),60)</f>
        <v>60</v>
      </c>
      <c r="N485">
        <f>_xlfn.IFNA(VLOOKUP($A485,PredictionTable,MATCH(N$1,Analysts,0),FALSE),60)</f>
        <v>60</v>
      </c>
      <c r="O485">
        <f>_xlfn.IFNA(VLOOKUP($A485,PredictionTable,MATCH(O$1,Analysts,0),FALSE),60)</f>
        <v>60</v>
      </c>
      <c r="P485">
        <f>_xlfn.IFNA(VLOOKUP($A485,PredictionTable,MATCH(P$1,Analysts,0),FALSE),60)</f>
        <v>60</v>
      </c>
      <c r="V485" s="7" t="s">
        <v>589</v>
      </c>
    </row>
    <row r="486" spans="1:22" x14ac:dyDescent="0.45">
      <c r="A486" s="1" t="s">
        <v>492</v>
      </c>
      <c r="B486" s="1" t="s">
        <v>343</v>
      </c>
      <c r="C486" s="1">
        <f>INDEX(T_Performances,MATCH($A486,T_Names,0))</f>
        <v>0</v>
      </c>
      <c r="D486">
        <v>12.7</v>
      </c>
      <c r="E486" s="1">
        <f>INDEX(T_Avg_PPG,MATCH($A486,T_Names,0))</f>
        <v>3.1749999999999998</v>
      </c>
      <c r="F486">
        <f>1+COUNTIFS(T_Total,"&gt;"&amp;D486,T_Pos,$B486)</f>
        <v>150</v>
      </c>
      <c r="G486">
        <f>1+COUNTIFS(T_Avg_PPG,"&gt;"&amp;E486,T_Pos,$B486)</f>
        <v>160</v>
      </c>
      <c r="H486">
        <f>_xlfn.IFNA(VLOOKUP($A486,PredictionTable,MATCH(H$1,Analysts,0),FALSE),60)</f>
        <v>60</v>
      </c>
      <c r="I486">
        <f>_xlfn.IFNA(VLOOKUP($A486,PredictionTable,MATCH(I$1,Analysts,0),FALSE),60)</f>
        <v>60</v>
      </c>
      <c r="J486">
        <f>_xlfn.IFNA(VLOOKUP($A486,PredictionTable,MATCH(J$1,Analysts,0),FALSE),60)</f>
        <v>60</v>
      </c>
      <c r="K486">
        <f>_xlfn.IFNA(VLOOKUP($A486,PredictionTable,MATCH(K$1,Analysts,0),FALSE),60)</f>
        <v>60</v>
      </c>
      <c r="L486">
        <f>_xlfn.IFNA(VLOOKUP($A486,PredictionTable,MATCH(L$1,Analysts,0),FALSE),60)</f>
        <v>60</v>
      </c>
      <c r="M486">
        <f>_xlfn.IFNA(VLOOKUP($A486,PredictionTable,MATCH(M$1,Analysts,0),FALSE),60)</f>
        <v>60</v>
      </c>
      <c r="N486">
        <f>_xlfn.IFNA(VLOOKUP($A486,PredictionTable,MATCH(N$1,Analysts,0),FALSE),60)</f>
        <v>60</v>
      </c>
      <c r="O486">
        <f>_xlfn.IFNA(VLOOKUP($A486,PredictionTable,MATCH(O$1,Analysts,0),FALSE),60)</f>
        <v>60</v>
      </c>
      <c r="P486">
        <f>_xlfn.IFNA(VLOOKUP($A486,PredictionTable,MATCH(P$1,Analysts,0),FALSE),60)</f>
        <v>60</v>
      </c>
      <c r="V486" s="7" t="s">
        <v>589</v>
      </c>
    </row>
    <row r="487" spans="1:22" x14ac:dyDescent="0.45">
      <c r="A487" s="1" t="s">
        <v>493</v>
      </c>
      <c r="B487" s="1" t="s">
        <v>343</v>
      </c>
      <c r="C487" s="1">
        <f>INDEX(T_Performances,MATCH($A487,T_Names,0))</f>
        <v>0</v>
      </c>
      <c r="D487">
        <v>12.5</v>
      </c>
      <c r="E487" s="1">
        <f>INDEX(T_Avg_PPG,MATCH($A487,T_Names,0))</f>
        <v>2.5</v>
      </c>
      <c r="F487">
        <f>1+COUNTIFS(T_Total,"&gt;"&amp;D487,T_Pos,$B487)</f>
        <v>151</v>
      </c>
      <c r="G487">
        <f>1+COUNTIFS(T_Avg_PPG,"&gt;"&amp;E487,T_Pos,$B487)</f>
        <v>177</v>
      </c>
      <c r="H487">
        <f>_xlfn.IFNA(VLOOKUP($A487,PredictionTable,MATCH(H$1,Analysts,0),FALSE),60)</f>
        <v>60</v>
      </c>
      <c r="I487">
        <f>_xlfn.IFNA(VLOOKUP($A487,PredictionTable,MATCH(I$1,Analysts,0),FALSE),60)</f>
        <v>60</v>
      </c>
      <c r="J487">
        <f>_xlfn.IFNA(VLOOKUP($A487,PredictionTable,MATCH(J$1,Analysts,0),FALSE),60)</f>
        <v>60</v>
      </c>
      <c r="K487">
        <f>_xlfn.IFNA(VLOOKUP($A487,PredictionTable,MATCH(K$1,Analysts,0),FALSE),60)</f>
        <v>60</v>
      </c>
      <c r="L487">
        <f>_xlfn.IFNA(VLOOKUP($A487,PredictionTable,MATCH(L$1,Analysts,0),FALSE),60)</f>
        <v>60</v>
      </c>
      <c r="M487">
        <f>_xlfn.IFNA(VLOOKUP($A487,PredictionTable,MATCH(M$1,Analysts,0),FALSE),60)</f>
        <v>60</v>
      </c>
      <c r="N487">
        <f>_xlfn.IFNA(VLOOKUP($A487,PredictionTable,MATCH(N$1,Analysts,0),FALSE),60)</f>
        <v>60</v>
      </c>
      <c r="O487">
        <f>_xlfn.IFNA(VLOOKUP($A487,PredictionTable,MATCH(O$1,Analysts,0),FALSE),60)</f>
        <v>60</v>
      </c>
      <c r="P487">
        <f>_xlfn.IFNA(VLOOKUP($A487,PredictionTable,MATCH(P$1,Analysts,0),FALSE),60)</f>
        <v>60</v>
      </c>
      <c r="V487" s="7" t="s">
        <v>589</v>
      </c>
    </row>
    <row r="488" spans="1:22" x14ac:dyDescent="0.45">
      <c r="A488" s="1" t="s">
        <v>494</v>
      </c>
      <c r="B488" s="1" t="s">
        <v>343</v>
      </c>
      <c r="C488" s="1">
        <f>INDEX(T_Performances,MATCH($A488,T_Names,0))</f>
        <v>0</v>
      </c>
      <c r="D488">
        <v>12.4</v>
      </c>
      <c r="E488" s="1">
        <f>INDEX(T_Avg_PPG,MATCH($A488,T_Names,0))</f>
        <v>4.1333333333333337</v>
      </c>
      <c r="F488">
        <f>1+COUNTIFS(T_Total,"&gt;"&amp;D488,T_Pos,$B488)</f>
        <v>152</v>
      </c>
      <c r="G488">
        <f>1+COUNTIFS(T_Avg_PPG,"&gt;"&amp;E488,T_Pos,$B488)</f>
        <v>144</v>
      </c>
      <c r="H488">
        <f>_xlfn.IFNA(VLOOKUP($A488,PredictionTable,MATCH(H$1,Analysts,0),FALSE),60)</f>
        <v>60</v>
      </c>
      <c r="I488">
        <f>_xlfn.IFNA(VLOOKUP($A488,PredictionTable,MATCH(I$1,Analysts,0),FALSE),60)</f>
        <v>60</v>
      </c>
      <c r="J488">
        <f>_xlfn.IFNA(VLOOKUP($A488,PredictionTable,MATCH(J$1,Analysts,0),FALSE),60)</f>
        <v>60</v>
      </c>
      <c r="K488">
        <f>_xlfn.IFNA(VLOOKUP($A488,PredictionTable,MATCH(K$1,Analysts,0),FALSE),60)</f>
        <v>60</v>
      </c>
      <c r="L488">
        <f>_xlfn.IFNA(VLOOKUP($A488,PredictionTable,MATCH(L$1,Analysts,0),FALSE),60)</f>
        <v>60</v>
      </c>
      <c r="M488">
        <f>_xlfn.IFNA(VLOOKUP($A488,PredictionTable,MATCH(M$1,Analysts,0),FALSE),60)</f>
        <v>60</v>
      </c>
      <c r="N488">
        <f>_xlfn.IFNA(VLOOKUP($A488,PredictionTable,MATCH(N$1,Analysts,0),FALSE),60)</f>
        <v>60</v>
      </c>
      <c r="O488">
        <f>_xlfn.IFNA(VLOOKUP($A488,PredictionTable,MATCH(O$1,Analysts,0),FALSE),60)</f>
        <v>60</v>
      </c>
      <c r="P488">
        <f>_xlfn.IFNA(VLOOKUP($A488,PredictionTable,MATCH(P$1,Analysts,0),FALSE),60)</f>
        <v>60</v>
      </c>
      <c r="V488" s="7" t="s">
        <v>589</v>
      </c>
    </row>
    <row r="489" spans="1:22" x14ac:dyDescent="0.45">
      <c r="A489" s="1" t="s">
        <v>495</v>
      </c>
      <c r="B489" s="1" t="s">
        <v>343</v>
      </c>
      <c r="C489" s="1">
        <f>INDEX(T_Performances,MATCH($A489,T_Names,0))</f>
        <v>0</v>
      </c>
      <c r="D489">
        <v>12.3</v>
      </c>
      <c r="E489" s="1">
        <f>INDEX(T_Avg_PPG,MATCH($A489,T_Names,0))</f>
        <v>4.1000000000000005</v>
      </c>
      <c r="F489">
        <f>1+COUNTIFS(T_Total,"&gt;"&amp;D489,T_Pos,$B489)</f>
        <v>153</v>
      </c>
      <c r="G489">
        <f>1+COUNTIFS(T_Avg_PPG,"&gt;"&amp;E489,T_Pos,$B489)</f>
        <v>145</v>
      </c>
      <c r="H489">
        <f>_xlfn.IFNA(VLOOKUP($A489,PredictionTable,MATCH(H$1,Analysts,0),FALSE),60)</f>
        <v>60</v>
      </c>
      <c r="I489">
        <f>_xlfn.IFNA(VLOOKUP($A489,PredictionTable,MATCH(I$1,Analysts,0),FALSE),60)</f>
        <v>60</v>
      </c>
      <c r="J489">
        <f>_xlfn.IFNA(VLOOKUP($A489,PredictionTable,MATCH(J$1,Analysts,0),FALSE),60)</f>
        <v>60</v>
      </c>
      <c r="K489">
        <f>_xlfn.IFNA(VLOOKUP($A489,PredictionTable,MATCH(K$1,Analysts,0),FALSE),60)</f>
        <v>60</v>
      </c>
      <c r="L489">
        <f>_xlfn.IFNA(VLOOKUP($A489,PredictionTable,MATCH(L$1,Analysts,0),FALSE),60)</f>
        <v>60</v>
      </c>
      <c r="M489">
        <f>_xlfn.IFNA(VLOOKUP($A489,PredictionTable,MATCH(M$1,Analysts,0),FALSE),60)</f>
        <v>60</v>
      </c>
      <c r="N489">
        <f>_xlfn.IFNA(VLOOKUP($A489,PredictionTable,MATCH(N$1,Analysts,0),FALSE),60)</f>
        <v>60</v>
      </c>
      <c r="O489">
        <f>_xlfn.IFNA(VLOOKUP($A489,PredictionTable,MATCH(O$1,Analysts,0),FALSE),60)</f>
        <v>60</v>
      </c>
      <c r="P489">
        <f>_xlfn.IFNA(VLOOKUP($A489,PredictionTable,MATCH(P$1,Analysts,0),FALSE),60)</f>
        <v>60</v>
      </c>
      <c r="V489" s="7" t="s">
        <v>589</v>
      </c>
    </row>
    <row r="490" spans="1:22" x14ac:dyDescent="0.45">
      <c r="A490" s="1" t="s">
        <v>496</v>
      </c>
      <c r="B490" s="1" t="s">
        <v>343</v>
      </c>
      <c r="C490" s="1">
        <f>INDEX(T_Performances,MATCH($A490,T_Names,0))</f>
        <v>0</v>
      </c>
      <c r="D490">
        <v>12</v>
      </c>
      <c r="E490" s="1">
        <f>INDEX(T_Avg_PPG,MATCH($A490,T_Names,0))</f>
        <v>6</v>
      </c>
      <c r="F490">
        <f>1+COUNTIFS(T_Total,"&gt;"&amp;D490,T_Pos,$B490)</f>
        <v>154</v>
      </c>
      <c r="G490">
        <f>1+COUNTIFS(T_Avg_PPG,"&gt;"&amp;E490,T_Pos,$B490)</f>
        <v>102</v>
      </c>
      <c r="H490">
        <f>_xlfn.IFNA(VLOOKUP($A490,PredictionTable,MATCH(H$1,Analysts,0),FALSE),60)</f>
        <v>60</v>
      </c>
      <c r="I490">
        <f>_xlfn.IFNA(VLOOKUP($A490,PredictionTable,MATCH(I$1,Analysts,0),FALSE),60)</f>
        <v>60</v>
      </c>
      <c r="J490">
        <f>_xlfn.IFNA(VLOOKUP($A490,PredictionTable,MATCH(J$1,Analysts,0),FALSE),60)</f>
        <v>60</v>
      </c>
      <c r="K490">
        <f>_xlfn.IFNA(VLOOKUP($A490,PredictionTable,MATCH(K$1,Analysts,0),FALSE),60)</f>
        <v>60</v>
      </c>
      <c r="L490">
        <f>_xlfn.IFNA(VLOOKUP($A490,PredictionTable,MATCH(L$1,Analysts,0),FALSE),60)</f>
        <v>60</v>
      </c>
      <c r="M490">
        <f>_xlfn.IFNA(VLOOKUP($A490,PredictionTable,MATCH(M$1,Analysts,0),FALSE),60)</f>
        <v>60</v>
      </c>
      <c r="N490">
        <f>_xlfn.IFNA(VLOOKUP($A490,PredictionTable,MATCH(N$1,Analysts,0),FALSE),60)</f>
        <v>60</v>
      </c>
      <c r="O490">
        <f>_xlfn.IFNA(VLOOKUP($A490,PredictionTable,MATCH(O$1,Analysts,0),FALSE),60)</f>
        <v>60</v>
      </c>
      <c r="P490">
        <f>_xlfn.IFNA(VLOOKUP($A490,PredictionTable,MATCH(P$1,Analysts,0),FALSE),60)</f>
        <v>60</v>
      </c>
      <c r="V490" s="7" t="s">
        <v>589</v>
      </c>
    </row>
    <row r="491" spans="1:22" x14ac:dyDescent="0.45">
      <c r="A491" s="1" t="s">
        <v>497</v>
      </c>
      <c r="B491" s="1" t="s">
        <v>343</v>
      </c>
      <c r="C491" s="1">
        <f>INDEX(T_Performances,MATCH($A491,T_Names,0))</f>
        <v>1</v>
      </c>
      <c r="D491">
        <v>11.4</v>
      </c>
      <c r="E491" s="1">
        <f>INDEX(T_Avg_PPG,MATCH($A491,T_Names,0))</f>
        <v>11.4</v>
      </c>
      <c r="F491">
        <f>1+COUNTIFS(T_Total,"&gt;"&amp;D491,T_Pos,$B491)</f>
        <v>155</v>
      </c>
      <c r="G491">
        <f>1+COUNTIFS(T_Avg_PPG,"&gt;"&amp;E491,T_Pos,$B491)</f>
        <v>33</v>
      </c>
      <c r="H491">
        <f>_xlfn.IFNA(VLOOKUP($A491,PredictionTable,MATCH(H$1,Analysts,0),FALSE),60)</f>
        <v>60</v>
      </c>
      <c r="I491">
        <f>_xlfn.IFNA(VLOOKUP($A491,PredictionTable,MATCH(I$1,Analysts,0),FALSE),60)</f>
        <v>60</v>
      </c>
      <c r="J491">
        <f>_xlfn.IFNA(VLOOKUP($A491,PredictionTable,MATCH(J$1,Analysts,0),FALSE),60)</f>
        <v>60</v>
      </c>
      <c r="K491">
        <f>_xlfn.IFNA(VLOOKUP($A491,PredictionTable,MATCH(K$1,Analysts,0),FALSE),60)</f>
        <v>60</v>
      </c>
      <c r="L491">
        <f>_xlfn.IFNA(VLOOKUP($A491,PredictionTable,MATCH(L$1,Analysts,0),FALSE),60)</f>
        <v>60</v>
      </c>
      <c r="M491">
        <f>_xlfn.IFNA(VLOOKUP($A491,PredictionTable,MATCH(M$1,Analysts,0),FALSE),60)</f>
        <v>60</v>
      </c>
      <c r="N491">
        <f>_xlfn.IFNA(VLOOKUP($A491,PredictionTable,MATCH(N$1,Analysts,0),FALSE),60)</f>
        <v>60</v>
      </c>
      <c r="O491">
        <f>_xlfn.IFNA(VLOOKUP($A491,PredictionTable,MATCH(O$1,Analysts,0),FALSE),60)</f>
        <v>60</v>
      </c>
      <c r="P491">
        <f>_xlfn.IFNA(VLOOKUP($A491,PredictionTable,MATCH(P$1,Analysts,0),FALSE),60)</f>
        <v>60</v>
      </c>
      <c r="V491" s="7" t="s">
        <v>589</v>
      </c>
    </row>
    <row r="492" spans="1:22" x14ac:dyDescent="0.45">
      <c r="A492" s="1" t="s">
        <v>498</v>
      </c>
      <c r="B492" s="1" t="s">
        <v>343</v>
      </c>
      <c r="C492" s="1">
        <f>INDEX(T_Performances,MATCH($A492,T_Names,0))</f>
        <v>0</v>
      </c>
      <c r="D492">
        <v>11.4</v>
      </c>
      <c r="E492" s="1">
        <f>INDEX(T_Avg_PPG,MATCH($A492,T_Names,0))</f>
        <v>2.85</v>
      </c>
      <c r="F492">
        <f>1+COUNTIFS(T_Total,"&gt;"&amp;D492,T_Pos,$B492)</f>
        <v>155</v>
      </c>
      <c r="G492">
        <f>1+COUNTIFS(T_Avg_PPG,"&gt;"&amp;E492,T_Pos,$B492)</f>
        <v>167</v>
      </c>
      <c r="H492">
        <f>_xlfn.IFNA(VLOOKUP($A492,PredictionTable,MATCH(H$1,Analysts,0),FALSE),60)</f>
        <v>60</v>
      </c>
      <c r="I492">
        <f>_xlfn.IFNA(VLOOKUP($A492,PredictionTable,MATCH(I$1,Analysts,0),FALSE),60)</f>
        <v>60</v>
      </c>
      <c r="J492">
        <f>_xlfn.IFNA(VLOOKUP($A492,PredictionTable,MATCH(J$1,Analysts,0),FALSE),60)</f>
        <v>60</v>
      </c>
      <c r="K492">
        <f>_xlfn.IFNA(VLOOKUP($A492,PredictionTable,MATCH(K$1,Analysts,0),FALSE),60)</f>
        <v>60</v>
      </c>
      <c r="L492">
        <f>_xlfn.IFNA(VLOOKUP($A492,PredictionTable,MATCH(L$1,Analysts,0),FALSE),60)</f>
        <v>60</v>
      </c>
      <c r="M492">
        <f>_xlfn.IFNA(VLOOKUP($A492,PredictionTable,MATCH(M$1,Analysts,0),FALSE),60)</f>
        <v>60</v>
      </c>
      <c r="N492">
        <f>_xlfn.IFNA(VLOOKUP($A492,PredictionTable,MATCH(N$1,Analysts,0),FALSE),60)</f>
        <v>60</v>
      </c>
      <c r="O492">
        <f>_xlfn.IFNA(VLOOKUP($A492,PredictionTable,MATCH(O$1,Analysts,0),FALSE),60)</f>
        <v>60</v>
      </c>
      <c r="P492">
        <f>_xlfn.IFNA(VLOOKUP($A492,PredictionTable,MATCH(P$1,Analysts,0),FALSE),60)</f>
        <v>60</v>
      </c>
      <c r="V492" s="7" t="s">
        <v>589</v>
      </c>
    </row>
    <row r="493" spans="1:22" x14ac:dyDescent="0.45">
      <c r="A493" s="1" t="s">
        <v>499</v>
      </c>
      <c r="B493" s="1" t="s">
        <v>343</v>
      </c>
      <c r="C493" s="1">
        <f>INDEX(T_Performances,MATCH($A493,T_Names,0))</f>
        <v>0</v>
      </c>
      <c r="D493">
        <v>11.2</v>
      </c>
      <c r="E493" s="1">
        <f>INDEX(T_Avg_PPG,MATCH($A493,T_Names,0))</f>
        <v>3.7333333333333329</v>
      </c>
      <c r="F493">
        <f>1+COUNTIFS(T_Total,"&gt;"&amp;D493,T_Pos,$B493)</f>
        <v>157</v>
      </c>
      <c r="G493">
        <f>1+COUNTIFS(T_Avg_PPG,"&gt;"&amp;E493,T_Pos,$B493)</f>
        <v>149</v>
      </c>
      <c r="H493">
        <f>_xlfn.IFNA(VLOOKUP($A493,PredictionTable,MATCH(H$1,Analysts,0),FALSE),60)</f>
        <v>60</v>
      </c>
      <c r="I493">
        <f>_xlfn.IFNA(VLOOKUP($A493,PredictionTable,MATCH(I$1,Analysts,0),FALSE),60)</f>
        <v>60</v>
      </c>
      <c r="J493">
        <f>_xlfn.IFNA(VLOOKUP($A493,PredictionTable,MATCH(J$1,Analysts,0),FALSE),60)</f>
        <v>60</v>
      </c>
      <c r="K493">
        <f>_xlfn.IFNA(VLOOKUP($A493,PredictionTable,MATCH(K$1,Analysts,0),FALSE),60)</f>
        <v>60</v>
      </c>
      <c r="L493">
        <f>_xlfn.IFNA(VLOOKUP($A493,PredictionTable,MATCH(L$1,Analysts,0),FALSE),60)</f>
        <v>60</v>
      </c>
      <c r="M493">
        <f>_xlfn.IFNA(VLOOKUP($A493,PredictionTable,MATCH(M$1,Analysts,0),FALSE),60)</f>
        <v>60</v>
      </c>
      <c r="N493">
        <f>_xlfn.IFNA(VLOOKUP($A493,PredictionTable,MATCH(N$1,Analysts,0),FALSE),60)</f>
        <v>60</v>
      </c>
      <c r="O493">
        <f>_xlfn.IFNA(VLOOKUP($A493,PredictionTable,MATCH(O$1,Analysts,0),FALSE),60)</f>
        <v>60</v>
      </c>
      <c r="P493">
        <f>_xlfn.IFNA(VLOOKUP($A493,PredictionTable,MATCH(P$1,Analysts,0),FALSE),60)</f>
        <v>60</v>
      </c>
      <c r="V493" s="7" t="s">
        <v>589</v>
      </c>
    </row>
    <row r="494" spans="1:22" x14ac:dyDescent="0.45">
      <c r="A494" s="1" t="s">
        <v>500</v>
      </c>
      <c r="B494" s="1" t="s">
        <v>343</v>
      </c>
      <c r="C494" s="1">
        <f>INDEX(T_Performances,MATCH($A494,T_Names,0))</f>
        <v>0</v>
      </c>
      <c r="D494">
        <v>11.1</v>
      </c>
      <c r="E494" s="1">
        <f>INDEX(T_Avg_PPG,MATCH($A494,T_Names,0))</f>
        <v>3.6999999999999997</v>
      </c>
      <c r="F494">
        <f>1+COUNTIFS(T_Total,"&gt;"&amp;D494,T_Pos,$B494)</f>
        <v>158</v>
      </c>
      <c r="G494">
        <f>1+COUNTIFS(T_Avg_PPG,"&gt;"&amp;E494,T_Pos,$B494)</f>
        <v>151</v>
      </c>
      <c r="H494">
        <f>_xlfn.IFNA(VLOOKUP($A494,PredictionTable,MATCH(H$1,Analysts,0),FALSE),60)</f>
        <v>60</v>
      </c>
      <c r="I494">
        <f>_xlfn.IFNA(VLOOKUP($A494,PredictionTable,MATCH(I$1,Analysts,0),FALSE),60)</f>
        <v>60</v>
      </c>
      <c r="J494">
        <f>_xlfn.IFNA(VLOOKUP($A494,PredictionTable,MATCH(J$1,Analysts,0),FALSE),60)</f>
        <v>60</v>
      </c>
      <c r="K494">
        <f>_xlfn.IFNA(VLOOKUP($A494,PredictionTable,MATCH(K$1,Analysts,0),FALSE),60)</f>
        <v>60</v>
      </c>
      <c r="L494">
        <f>_xlfn.IFNA(VLOOKUP($A494,PredictionTable,MATCH(L$1,Analysts,0),FALSE),60)</f>
        <v>60</v>
      </c>
      <c r="M494">
        <f>_xlfn.IFNA(VLOOKUP($A494,PredictionTable,MATCH(M$1,Analysts,0),FALSE),60)</f>
        <v>60</v>
      </c>
      <c r="N494">
        <f>_xlfn.IFNA(VLOOKUP($A494,PredictionTable,MATCH(N$1,Analysts,0),FALSE),60)</f>
        <v>60</v>
      </c>
      <c r="O494">
        <f>_xlfn.IFNA(VLOOKUP($A494,PredictionTable,MATCH(O$1,Analysts,0),FALSE),60)</f>
        <v>60</v>
      </c>
      <c r="P494">
        <f>_xlfn.IFNA(VLOOKUP($A494,PredictionTable,MATCH(P$1,Analysts,0),FALSE),60)</f>
        <v>60</v>
      </c>
      <c r="V494" s="7" t="s">
        <v>589</v>
      </c>
    </row>
    <row r="495" spans="1:22" x14ac:dyDescent="0.45">
      <c r="A495" s="1" t="s">
        <v>501</v>
      </c>
      <c r="B495" s="1" t="s">
        <v>343</v>
      </c>
      <c r="C495" s="1">
        <f>INDEX(T_Performances,MATCH($A495,T_Names,0))</f>
        <v>0</v>
      </c>
      <c r="D495">
        <v>10.6</v>
      </c>
      <c r="E495" s="1">
        <f>INDEX(T_Avg_PPG,MATCH($A495,T_Names,0))</f>
        <v>5.3</v>
      </c>
      <c r="F495">
        <f>1+COUNTIFS(T_Total,"&gt;"&amp;D495,T_Pos,$B495)</f>
        <v>159</v>
      </c>
      <c r="G495">
        <f>1+COUNTIFS(T_Avg_PPG,"&gt;"&amp;E495,T_Pos,$B495)</f>
        <v>114</v>
      </c>
      <c r="H495">
        <f>_xlfn.IFNA(VLOOKUP($A495,PredictionTable,MATCH(H$1,Analysts,0),FALSE),60)</f>
        <v>60</v>
      </c>
      <c r="I495">
        <f>_xlfn.IFNA(VLOOKUP($A495,PredictionTable,MATCH(I$1,Analysts,0),FALSE),60)</f>
        <v>60</v>
      </c>
      <c r="J495">
        <f>_xlfn.IFNA(VLOOKUP($A495,PredictionTable,MATCH(J$1,Analysts,0),FALSE),60)</f>
        <v>60</v>
      </c>
      <c r="K495">
        <f>_xlfn.IFNA(VLOOKUP($A495,PredictionTable,MATCH(K$1,Analysts,0),FALSE),60)</f>
        <v>60</v>
      </c>
      <c r="L495">
        <f>_xlfn.IFNA(VLOOKUP($A495,PredictionTable,MATCH(L$1,Analysts,0),FALSE),60)</f>
        <v>60</v>
      </c>
      <c r="M495">
        <f>_xlfn.IFNA(VLOOKUP($A495,PredictionTable,MATCH(M$1,Analysts,0),FALSE),60)</f>
        <v>60</v>
      </c>
      <c r="N495">
        <f>_xlfn.IFNA(VLOOKUP($A495,PredictionTable,MATCH(N$1,Analysts,0),FALSE),60)</f>
        <v>60</v>
      </c>
      <c r="O495">
        <f>_xlfn.IFNA(VLOOKUP($A495,PredictionTable,MATCH(O$1,Analysts,0),FALSE),60)</f>
        <v>60</v>
      </c>
      <c r="P495">
        <f>_xlfn.IFNA(VLOOKUP($A495,PredictionTable,MATCH(P$1,Analysts,0),FALSE),60)</f>
        <v>60</v>
      </c>
      <c r="V495" s="7" t="s">
        <v>589</v>
      </c>
    </row>
    <row r="496" spans="1:22" x14ac:dyDescent="0.45">
      <c r="A496" s="1" t="s">
        <v>502</v>
      </c>
      <c r="B496" s="1" t="s">
        <v>343</v>
      </c>
      <c r="C496" s="1">
        <f>INDEX(T_Performances,MATCH($A496,T_Names,0))</f>
        <v>0</v>
      </c>
      <c r="D496">
        <v>10.6</v>
      </c>
      <c r="E496" s="1">
        <f>INDEX(T_Avg_PPG,MATCH($A496,T_Names,0))</f>
        <v>1.7666666666666666</v>
      </c>
      <c r="F496">
        <f>1+COUNTIFS(T_Total,"&gt;"&amp;D496,T_Pos,$B496)</f>
        <v>159</v>
      </c>
      <c r="G496">
        <f>1+COUNTIFS(T_Avg_PPG,"&gt;"&amp;E496,T_Pos,$B496)</f>
        <v>193</v>
      </c>
      <c r="H496">
        <f>_xlfn.IFNA(VLOOKUP($A496,PredictionTable,MATCH(H$1,Analysts,0),FALSE),60)</f>
        <v>60</v>
      </c>
      <c r="I496">
        <f>_xlfn.IFNA(VLOOKUP($A496,PredictionTable,MATCH(I$1,Analysts,0),FALSE),60)</f>
        <v>60</v>
      </c>
      <c r="J496">
        <f>_xlfn.IFNA(VLOOKUP($A496,PredictionTable,MATCH(J$1,Analysts,0),FALSE),60)</f>
        <v>60</v>
      </c>
      <c r="K496">
        <f>_xlfn.IFNA(VLOOKUP($A496,PredictionTable,MATCH(K$1,Analysts,0),FALSE),60)</f>
        <v>60</v>
      </c>
      <c r="L496">
        <f>_xlfn.IFNA(VLOOKUP($A496,PredictionTable,MATCH(L$1,Analysts,0),FALSE),60)</f>
        <v>60</v>
      </c>
      <c r="M496">
        <f>_xlfn.IFNA(VLOOKUP($A496,PredictionTable,MATCH(M$1,Analysts,0),FALSE),60)</f>
        <v>60</v>
      </c>
      <c r="N496">
        <f>_xlfn.IFNA(VLOOKUP($A496,PredictionTable,MATCH(N$1,Analysts,0),FALSE),60)</f>
        <v>60</v>
      </c>
      <c r="O496">
        <f>_xlfn.IFNA(VLOOKUP($A496,PredictionTable,MATCH(O$1,Analysts,0),FALSE),60)</f>
        <v>60</v>
      </c>
      <c r="P496">
        <f>_xlfn.IFNA(VLOOKUP($A496,PredictionTable,MATCH(P$1,Analysts,0),FALSE),60)</f>
        <v>60</v>
      </c>
      <c r="V496" s="7" t="s">
        <v>589</v>
      </c>
    </row>
    <row r="497" spans="1:22" x14ac:dyDescent="0.45">
      <c r="A497" s="1" t="s">
        <v>503</v>
      </c>
      <c r="B497" s="1" t="s">
        <v>343</v>
      </c>
      <c r="C497" s="1">
        <f>INDEX(T_Performances,MATCH($A497,T_Names,0))</f>
        <v>0</v>
      </c>
      <c r="D497">
        <v>10.199999999999999</v>
      </c>
      <c r="E497" s="1">
        <f>INDEX(T_Avg_PPG,MATCH($A497,T_Names,0))</f>
        <v>2.5499999999999998</v>
      </c>
      <c r="F497">
        <f>1+COUNTIFS(T_Total,"&gt;"&amp;D497,T_Pos,$B497)</f>
        <v>161</v>
      </c>
      <c r="G497">
        <f>1+COUNTIFS(T_Avg_PPG,"&gt;"&amp;E497,T_Pos,$B497)</f>
        <v>174</v>
      </c>
      <c r="H497">
        <f>_xlfn.IFNA(VLOOKUP($A497,PredictionTable,MATCH(H$1,Analysts,0),FALSE),60)</f>
        <v>60</v>
      </c>
      <c r="I497">
        <f>_xlfn.IFNA(VLOOKUP($A497,PredictionTable,MATCH(I$1,Analysts,0),FALSE),60)</f>
        <v>60</v>
      </c>
      <c r="J497">
        <f>_xlfn.IFNA(VLOOKUP($A497,PredictionTable,MATCH(J$1,Analysts,0),FALSE),60)</f>
        <v>60</v>
      </c>
      <c r="K497">
        <f>_xlfn.IFNA(VLOOKUP($A497,PredictionTable,MATCH(K$1,Analysts,0),FALSE),60)</f>
        <v>60</v>
      </c>
      <c r="L497">
        <f>_xlfn.IFNA(VLOOKUP($A497,PredictionTable,MATCH(L$1,Analysts,0),FALSE),60)</f>
        <v>60</v>
      </c>
      <c r="M497">
        <f>_xlfn.IFNA(VLOOKUP($A497,PredictionTable,MATCH(M$1,Analysts,0),FALSE),60)</f>
        <v>60</v>
      </c>
      <c r="N497">
        <f>_xlfn.IFNA(VLOOKUP($A497,PredictionTable,MATCH(N$1,Analysts,0),FALSE),60)</f>
        <v>60</v>
      </c>
      <c r="O497">
        <f>_xlfn.IFNA(VLOOKUP($A497,PredictionTable,MATCH(O$1,Analysts,0),FALSE),60)</f>
        <v>60</v>
      </c>
      <c r="P497">
        <f>_xlfn.IFNA(VLOOKUP($A497,PredictionTable,MATCH(P$1,Analysts,0),FALSE),60)</f>
        <v>60</v>
      </c>
      <c r="V497" s="7" t="s">
        <v>589</v>
      </c>
    </row>
    <row r="498" spans="1:22" x14ac:dyDescent="0.45">
      <c r="A498" s="1" t="s">
        <v>504</v>
      </c>
      <c r="B498" s="1" t="s">
        <v>343</v>
      </c>
      <c r="C498" s="1">
        <f>INDEX(T_Performances,MATCH($A498,T_Names,0))</f>
        <v>0</v>
      </c>
      <c r="D498">
        <v>10.1</v>
      </c>
      <c r="E498" s="1">
        <f>INDEX(T_Avg_PPG,MATCH($A498,T_Names,0))</f>
        <v>2.5249999999999999</v>
      </c>
      <c r="F498">
        <f>1+COUNTIFS(T_Total,"&gt;"&amp;D498,T_Pos,$B498)</f>
        <v>162</v>
      </c>
      <c r="G498">
        <f>1+COUNTIFS(T_Avg_PPG,"&gt;"&amp;E498,T_Pos,$B498)</f>
        <v>176</v>
      </c>
      <c r="H498">
        <f>_xlfn.IFNA(VLOOKUP($A498,PredictionTable,MATCH(H$1,Analysts,0),FALSE),60)</f>
        <v>60</v>
      </c>
      <c r="I498">
        <f>_xlfn.IFNA(VLOOKUP($A498,PredictionTable,MATCH(I$1,Analysts,0),FALSE),60)</f>
        <v>60</v>
      </c>
      <c r="J498">
        <f>_xlfn.IFNA(VLOOKUP($A498,PredictionTable,MATCH(J$1,Analysts,0),FALSE),60)</f>
        <v>60</v>
      </c>
      <c r="K498">
        <f>_xlfn.IFNA(VLOOKUP($A498,PredictionTable,MATCH(K$1,Analysts,0),FALSE),60)</f>
        <v>60</v>
      </c>
      <c r="L498">
        <f>_xlfn.IFNA(VLOOKUP($A498,PredictionTable,MATCH(L$1,Analysts,0),FALSE),60)</f>
        <v>60</v>
      </c>
      <c r="M498">
        <f>_xlfn.IFNA(VLOOKUP($A498,PredictionTable,MATCH(M$1,Analysts,0),FALSE),60)</f>
        <v>60</v>
      </c>
      <c r="N498">
        <f>_xlfn.IFNA(VLOOKUP($A498,PredictionTable,MATCH(N$1,Analysts,0),FALSE),60)</f>
        <v>60</v>
      </c>
      <c r="O498">
        <f>_xlfn.IFNA(VLOOKUP($A498,PredictionTable,MATCH(O$1,Analysts,0),FALSE),60)</f>
        <v>60</v>
      </c>
      <c r="P498">
        <f>_xlfn.IFNA(VLOOKUP($A498,PredictionTable,MATCH(P$1,Analysts,0),FALSE),60)</f>
        <v>60</v>
      </c>
      <c r="V498" s="7" t="s">
        <v>589</v>
      </c>
    </row>
    <row r="499" spans="1:22" x14ac:dyDescent="0.45">
      <c r="A499" s="1" t="s">
        <v>505</v>
      </c>
      <c r="B499" s="1" t="s">
        <v>343</v>
      </c>
      <c r="C499" s="1">
        <f>INDEX(T_Performances,MATCH($A499,T_Names,0))</f>
        <v>0</v>
      </c>
      <c r="D499">
        <v>10</v>
      </c>
      <c r="E499" s="1">
        <f>INDEX(T_Avg_PPG,MATCH($A499,T_Names,0))</f>
        <v>3.3333333333333335</v>
      </c>
      <c r="F499">
        <f>1+COUNTIFS(T_Total,"&gt;"&amp;D499,T_Pos,$B499)</f>
        <v>163</v>
      </c>
      <c r="G499">
        <f>1+COUNTIFS(T_Avg_PPG,"&gt;"&amp;E499,T_Pos,$B499)</f>
        <v>157</v>
      </c>
      <c r="H499">
        <f>_xlfn.IFNA(VLOOKUP($A499,PredictionTable,MATCH(H$1,Analysts,0),FALSE),60)</f>
        <v>60</v>
      </c>
      <c r="I499">
        <f>_xlfn.IFNA(VLOOKUP($A499,PredictionTable,MATCH(I$1,Analysts,0),FALSE),60)</f>
        <v>60</v>
      </c>
      <c r="J499">
        <f>_xlfn.IFNA(VLOOKUP($A499,PredictionTable,MATCH(J$1,Analysts,0),FALSE),60)</f>
        <v>60</v>
      </c>
      <c r="K499">
        <f>_xlfn.IFNA(VLOOKUP($A499,PredictionTable,MATCH(K$1,Analysts,0),FALSE),60)</f>
        <v>60</v>
      </c>
      <c r="L499">
        <f>_xlfn.IFNA(VLOOKUP($A499,PredictionTable,MATCH(L$1,Analysts,0),FALSE),60)</f>
        <v>60</v>
      </c>
      <c r="M499">
        <f>_xlfn.IFNA(VLOOKUP($A499,PredictionTable,MATCH(M$1,Analysts,0),FALSE),60)</f>
        <v>60</v>
      </c>
      <c r="N499">
        <f>_xlfn.IFNA(VLOOKUP($A499,PredictionTable,MATCH(N$1,Analysts,0),FALSE),60)</f>
        <v>60</v>
      </c>
      <c r="O499">
        <f>_xlfn.IFNA(VLOOKUP($A499,PredictionTable,MATCH(O$1,Analysts,0),FALSE),60)</f>
        <v>60</v>
      </c>
      <c r="P499">
        <f>_xlfn.IFNA(VLOOKUP($A499,PredictionTable,MATCH(P$1,Analysts,0),FALSE),60)</f>
        <v>60</v>
      </c>
      <c r="V499" s="7" t="s">
        <v>589</v>
      </c>
    </row>
    <row r="500" spans="1:22" x14ac:dyDescent="0.45">
      <c r="A500" s="1" t="s">
        <v>506</v>
      </c>
      <c r="B500" s="1" t="s">
        <v>343</v>
      </c>
      <c r="C500" s="1">
        <f>INDEX(T_Performances,MATCH($A500,T_Names,0))</f>
        <v>0</v>
      </c>
      <c r="D500">
        <v>10</v>
      </c>
      <c r="E500" s="1">
        <f>INDEX(T_Avg_PPG,MATCH($A500,T_Names,0))</f>
        <v>2.5</v>
      </c>
      <c r="F500">
        <f>1+COUNTIFS(T_Total,"&gt;"&amp;D500,T_Pos,$B500)</f>
        <v>163</v>
      </c>
      <c r="G500">
        <f>1+COUNTIFS(T_Avg_PPG,"&gt;"&amp;E500,T_Pos,$B500)</f>
        <v>177</v>
      </c>
      <c r="H500">
        <f>_xlfn.IFNA(VLOOKUP($A500,PredictionTable,MATCH(H$1,Analysts,0),FALSE),60)</f>
        <v>60</v>
      </c>
      <c r="I500">
        <f>_xlfn.IFNA(VLOOKUP($A500,PredictionTable,MATCH(I$1,Analysts,0),FALSE),60)</f>
        <v>60</v>
      </c>
      <c r="J500">
        <f>_xlfn.IFNA(VLOOKUP($A500,PredictionTable,MATCH(J$1,Analysts,0),FALSE),60)</f>
        <v>60</v>
      </c>
      <c r="K500">
        <f>_xlfn.IFNA(VLOOKUP($A500,PredictionTable,MATCH(K$1,Analysts,0),FALSE),60)</f>
        <v>60</v>
      </c>
      <c r="L500">
        <f>_xlfn.IFNA(VLOOKUP($A500,PredictionTable,MATCH(L$1,Analysts,0),FALSE),60)</f>
        <v>60</v>
      </c>
      <c r="M500">
        <f>_xlfn.IFNA(VLOOKUP($A500,PredictionTable,MATCH(M$1,Analysts,0),FALSE),60)</f>
        <v>60</v>
      </c>
      <c r="N500">
        <f>_xlfn.IFNA(VLOOKUP($A500,PredictionTable,MATCH(N$1,Analysts,0),FALSE),60)</f>
        <v>60</v>
      </c>
      <c r="O500">
        <f>_xlfn.IFNA(VLOOKUP($A500,PredictionTable,MATCH(O$1,Analysts,0),FALSE),60)</f>
        <v>60</v>
      </c>
      <c r="P500">
        <f>_xlfn.IFNA(VLOOKUP($A500,PredictionTable,MATCH(P$1,Analysts,0),FALSE),60)</f>
        <v>60</v>
      </c>
      <c r="V500" s="7" t="s">
        <v>589</v>
      </c>
    </row>
    <row r="501" spans="1:22" x14ac:dyDescent="0.45">
      <c r="A501" s="1" t="s">
        <v>507</v>
      </c>
      <c r="B501" s="1" t="s">
        <v>343</v>
      </c>
      <c r="C501" s="1">
        <f>INDEX(T_Performances,MATCH($A501,T_Names,0))</f>
        <v>0</v>
      </c>
      <c r="D501">
        <v>9.6999999999999993</v>
      </c>
      <c r="E501" s="1">
        <f>INDEX(T_Avg_PPG,MATCH($A501,T_Names,0))</f>
        <v>2.4249999999999998</v>
      </c>
      <c r="F501">
        <f>1+COUNTIFS(T_Total,"&gt;"&amp;D501,T_Pos,$B501)</f>
        <v>165</v>
      </c>
      <c r="G501">
        <f>1+COUNTIFS(T_Avg_PPG,"&gt;"&amp;E501,T_Pos,$B501)</f>
        <v>179</v>
      </c>
      <c r="H501">
        <f>_xlfn.IFNA(VLOOKUP($A501,PredictionTable,MATCH(H$1,Analysts,0),FALSE),60)</f>
        <v>60</v>
      </c>
      <c r="I501">
        <f>_xlfn.IFNA(VLOOKUP($A501,PredictionTable,MATCH(I$1,Analysts,0),FALSE),60)</f>
        <v>60</v>
      </c>
      <c r="J501">
        <f>_xlfn.IFNA(VLOOKUP($A501,PredictionTable,MATCH(J$1,Analysts,0),FALSE),60)</f>
        <v>60</v>
      </c>
      <c r="K501">
        <f>_xlfn.IFNA(VLOOKUP($A501,PredictionTable,MATCH(K$1,Analysts,0),FALSE),60)</f>
        <v>60</v>
      </c>
      <c r="L501">
        <f>_xlfn.IFNA(VLOOKUP($A501,PredictionTable,MATCH(L$1,Analysts,0),FALSE),60)</f>
        <v>60</v>
      </c>
      <c r="M501">
        <f>_xlfn.IFNA(VLOOKUP($A501,PredictionTable,MATCH(M$1,Analysts,0),FALSE),60)</f>
        <v>60</v>
      </c>
      <c r="N501">
        <f>_xlfn.IFNA(VLOOKUP($A501,PredictionTable,MATCH(N$1,Analysts,0),FALSE),60)</f>
        <v>60</v>
      </c>
      <c r="O501">
        <f>_xlfn.IFNA(VLOOKUP($A501,PredictionTable,MATCH(O$1,Analysts,0),FALSE),60)</f>
        <v>60</v>
      </c>
      <c r="P501">
        <f>_xlfn.IFNA(VLOOKUP($A501,PredictionTable,MATCH(P$1,Analysts,0),FALSE),60)</f>
        <v>60</v>
      </c>
      <c r="V501" s="7" t="s">
        <v>589</v>
      </c>
    </row>
    <row r="502" spans="1:22" x14ac:dyDescent="0.45">
      <c r="A502" s="1" t="s">
        <v>508</v>
      </c>
      <c r="B502" s="1" t="s">
        <v>343</v>
      </c>
      <c r="C502" s="1">
        <f>INDEX(T_Performances,MATCH($A502,T_Names,0))</f>
        <v>0</v>
      </c>
      <c r="D502">
        <v>9.4</v>
      </c>
      <c r="E502" s="1">
        <f>INDEX(T_Avg_PPG,MATCH($A502,T_Names,0))</f>
        <v>4.7</v>
      </c>
      <c r="F502">
        <f>1+COUNTIFS(T_Total,"&gt;"&amp;D502,T_Pos,$B502)</f>
        <v>166</v>
      </c>
      <c r="G502">
        <f>1+COUNTIFS(T_Avg_PPG,"&gt;"&amp;E502,T_Pos,$B502)</f>
        <v>123</v>
      </c>
      <c r="H502">
        <f>_xlfn.IFNA(VLOOKUP($A502,PredictionTable,MATCH(H$1,Analysts,0),FALSE),60)</f>
        <v>60</v>
      </c>
      <c r="I502">
        <f>_xlfn.IFNA(VLOOKUP($A502,PredictionTable,MATCH(I$1,Analysts,0),FALSE),60)</f>
        <v>60</v>
      </c>
      <c r="J502">
        <f>_xlfn.IFNA(VLOOKUP($A502,PredictionTable,MATCH(J$1,Analysts,0),FALSE),60)</f>
        <v>60</v>
      </c>
      <c r="K502">
        <f>_xlfn.IFNA(VLOOKUP($A502,PredictionTable,MATCH(K$1,Analysts,0),FALSE),60)</f>
        <v>60</v>
      </c>
      <c r="L502">
        <f>_xlfn.IFNA(VLOOKUP($A502,PredictionTable,MATCH(L$1,Analysts,0),FALSE),60)</f>
        <v>60</v>
      </c>
      <c r="M502">
        <f>_xlfn.IFNA(VLOOKUP($A502,PredictionTable,MATCH(M$1,Analysts,0),FALSE),60)</f>
        <v>60</v>
      </c>
      <c r="N502">
        <f>_xlfn.IFNA(VLOOKUP($A502,PredictionTable,MATCH(N$1,Analysts,0),FALSE),60)</f>
        <v>60</v>
      </c>
      <c r="O502">
        <f>_xlfn.IFNA(VLOOKUP($A502,PredictionTable,MATCH(O$1,Analysts,0),FALSE),60)</f>
        <v>60</v>
      </c>
      <c r="P502">
        <f>_xlfn.IFNA(VLOOKUP($A502,PredictionTable,MATCH(P$1,Analysts,0),FALSE),60)</f>
        <v>60</v>
      </c>
      <c r="V502" s="7" t="s">
        <v>589</v>
      </c>
    </row>
    <row r="503" spans="1:22" x14ac:dyDescent="0.45">
      <c r="A503" s="1" t="s">
        <v>509</v>
      </c>
      <c r="B503" s="1" t="s">
        <v>343</v>
      </c>
      <c r="C503" s="1">
        <f>INDEX(T_Performances,MATCH($A503,T_Names,0))</f>
        <v>0</v>
      </c>
      <c r="D503">
        <v>9.4</v>
      </c>
      <c r="E503" s="1">
        <f>INDEX(T_Avg_PPG,MATCH($A503,T_Names,0))</f>
        <v>3.1333333333333333</v>
      </c>
      <c r="F503">
        <f>1+COUNTIFS(T_Total,"&gt;"&amp;D503,T_Pos,$B503)</f>
        <v>166</v>
      </c>
      <c r="G503">
        <f>1+COUNTIFS(T_Avg_PPG,"&gt;"&amp;E503,T_Pos,$B503)</f>
        <v>161</v>
      </c>
      <c r="H503">
        <f>_xlfn.IFNA(VLOOKUP($A503,PredictionTable,MATCH(H$1,Analysts,0),FALSE),60)</f>
        <v>60</v>
      </c>
      <c r="I503">
        <f>_xlfn.IFNA(VLOOKUP($A503,PredictionTable,MATCH(I$1,Analysts,0),FALSE),60)</f>
        <v>60</v>
      </c>
      <c r="J503">
        <f>_xlfn.IFNA(VLOOKUP($A503,PredictionTable,MATCH(J$1,Analysts,0),FALSE),60)</f>
        <v>60</v>
      </c>
      <c r="K503">
        <f>_xlfn.IFNA(VLOOKUP($A503,PredictionTable,MATCH(K$1,Analysts,0),FALSE),60)</f>
        <v>60</v>
      </c>
      <c r="L503">
        <f>_xlfn.IFNA(VLOOKUP($A503,PredictionTable,MATCH(L$1,Analysts,0),FALSE),60)</f>
        <v>60</v>
      </c>
      <c r="M503">
        <f>_xlfn.IFNA(VLOOKUP($A503,PredictionTable,MATCH(M$1,Analysts,0),FALSE),60)</f>
        <v>60</v>
      </c>
      <c r="N503">
        <f>_xlfn.IFNA(VLOOKUP($A503,PredictionTable,MATCH(N$1,Analysts,0),FALSE),60)</f>
        <v>60</v>
      </c>
      <c r="O503">
        <f>_xlfn.IFNA(VLOOKUP($A503,PredictionTable,MATCH(O$1,Analysts,0),FALSE),60)</f>
        <v>60</v>
      </c>
      <c r="P503">
        <f>_xlfn.IFNA(VLOOKUP($A503,PredictionTable,MATCH(P$1,Analysts,0),FALSE),60)</f>
        <v>60</v>
      </c>
      <c r="V503" s="7" t="s">
        <v>589</v>
      </c>
    </row>
    <row r="504" spans="1:22" x14ac:dyDescent="0.45">
      <c r="A504" s="1" t="s">
        <v>510</v>
      </c>
      <c r="B504" s="1" t="s">
        <v>343</v>
      </c>
      <c r="C504" s="1">
        <f>INDEX(T_Performances,MATCH($A504,T_Names,0))</f>
        <v>0</v>
      </c>
      <c r="D504">
        <v>8.8000000000000007</v>
      </c>
      <c r="E504" s="1">
        <f>INDEX(T_Avg_PPG,MATCH($A504,T_Names,0))</f>
        <v>8.8000000000000007</v>
      </c>
      <c r="F504">
        <f>1+COUNTIFS(T_Total,"&gt;"&amp;D504,T_Pos,$B504)</f>
        <v>168</v>
      </c>
      <c r="G504">
        <f>1+COUNTIFS(T_Avg_PPG,"&gt;"&amp;E504,T_Pos,$B504)</f>
        <v>58</v>
      </c>
      <c r="H504">
        <f>_xlfn.IFNA(VLOOKUP($A504,PredictionTable,MATCH(H$1,Analysts,0),FALSE),60)</f>
        <v>60</v>
      </c>
      <c r="I504">
        <f>_xlfn.IFNA(VLOOKUP($A504,PredictionTable,MATCH(I$1,Analysts,0),FALSE),60)</f>
        <v>60</v>
      </c>
      <c r="J504">
        <f>_xlfn.IFNA(VLOOKUP($A504,PredictionTable,MATCH(J$1,Analysts,0),FALSE),60)</f>
        <v>60</v>
      </c>
      <c r="K504">
        <f>_xlfn.IFNA(VLOOKUP($A504,PredictionTable,MATCH(K$1,Analysts,0),FALSE),60)</f>
        <v>60</v>
      </c>
      <c r="L504">
        <f>_xlfn.IFNA(VLOOKUP($A504,PredictionTable,MATCH(L$1,Analysts,0),FALSE),60)</f>
        <v>60</v>
      </c>
      <c r="M504">
        <f>_xlfn.IFNA(VLOOKUP($A504,PredictionTable,MATCH(M$1,Analysts,0),FALSE),60)</f>
        <v>60</v>
      </c>
      <c r="N504">
        <f>_xlfn.IFNA(VLOOKUP($A504,PredictionTable,MATCH(N$1,Analysts,0),FALSE),60)</f>
        <v>60</v>
      </c>
      <c r="O504">
        <f>_xlfn.IFNA(VLOOKUP($A504,PredictionTable,MATCH(O$1,Analysts,0),FALSE),60)</f>
        <v>60</v>
      </c>
      <c r="P504">
        <f>_xlfn.IFNA(VLOOKUP($A504,PredictionTable,MATCH(P$1,Analysts,0),FALSE),60)</f>
        <v>60</v>
      </c>
      <c r="V504" s="7" t="s">
        <v>589</v>
      </c>
    </row>
    <row r="505" spans="1:22" x14ac:dyDescent="0.45">
      <c r="A505" s="1" t="s">
        <v>511</v>
      </c>
      <c r="B505" s="1" t="s">
        <v>343</v>
      </c>
      <c r="C505" s="1">
        <f>INDEX(T_Performances,MATCH($A505,T_Names,0))</f>
        <v>0</v>
      </c>
      <c r="D505">
        <v>8.6999999999999993</v>
      </c>
      <c r="E505" s="1">
        <f>INDEX(T_Avg_PPG,MATCH($A505,T_Names,0))</f>
        <v>4.3499999999999996</v>
      </c>
      <c r="F505">
        <f>1+COUNTIFS(T_Total,"&gt;"&amp;D505,T_Pos,$B505)</f>
        <v>169</v>
      </c>
      <c r="G505">
        <f>1+COUNTIFS(T_Avg_PPG,"&gt;"&amp;E505,T_Pos,$B505)</f>
        <v>135</v>
      </c>
      <c r="H505">
        <f>_xlfn.IFNA(VLOOKUP($A505,PredictionTable,MATCH(H$1,Analysts,0),FALSE),60)</f>
        <v>60</v>
      </c>
      <c r="I505">
        <f>_xlfn.IFNA(VLOOKUP($A505,PredictionTable,MATCH(I$1,Analysts,0),FALSE),60)</f>
        <v>60</v>
      </c>
      <c r="J505">
        <f>_xlfn.IFNA(VLOOKUP($A505,PredictionTable,MATCH(J$1,Analysts,0),FALSE),60)</f>
        <v>60</v>
      </c>
      <c r="K505">
        <f>_xlfn.IFNA(VLOOKUP($A505,PredictionTable,MATCH(K$1,Analysts,0),FALSE),60)</f>
        <v>60</v>
      </c>
      <c r="L505">
        <f>_xlfn.IFNA(VLOOKUP($A505,PredictionTable,MATCH(L$1,Analysts,0),FALSE),60)</f>
        <v>60</v>
      </c>
      <c r="M505">
        <f>_xlfn.IFNA(VLOOKUP($A505,PredictionTable,MATCH(M$1,Analysts,0),FALSE),60)</f>
        <v>60</v>
      </c>
      <c r="N505">
        <f>_xlfn.IFNA(VLOOKUP($A505,PredictionTable,MATCH(N$1,Analysts,0),FALSE),60)</f>
        <v>60</v>
      </c>
      <c r="O505">
        <f>_xlfn.IFNA(VLOOKUP($A505,PredictionTable,MATCH(O$1,Analysts,0),FALSE),60)</f>
        <v>60</v>
      </c>
      <c r="P505">
        <f>_xlfn.IFNA(VLOOKUP($A505,PredictionTable,MATCH(P$1,Analysts,0),FALSE),60)</f>
        <v>60</v>
      </c>
      <c r="V505" s="7" t="s">
        <v>589</v>
      </c>
    </row>
    <row r="506" spans="1:22" x14ac:dyDescent="0.45">
      <c r="A506" s="1" t="s">
        <v>512</v>
      </c>
      <c r="B506" s="1" t="s">
        <v>343</v>
      </c>
      <c r="C506" s="1">
        <f>INDEX(T_Performances,MATCH($A506,T_Names,0))</f>
        <v>0</v>
      </c>
      <c r="D506">
        <v>8.6</v>
      </c>
      <c r="E506" s="1">
        <f>INDEX(T_Avg_PPG,MATCH($A506,T_Names,0))</f>
        <v>8.6</v>
      </c>
      <c r="F506">
        <f>1+COUNTIFS(T_Total,"&gt;"&amp;D506,T_Pos,$B506)</f>
        <v>170</v>
      </c>
      <c r="G506">
        <f>1+COUNTIFS(T_Avg_PPG,"&gt;"&amp;E506,T_Pos,$B506)</f>
        <v>61</v>
      </c>
      <c r="H506">
        <f>_xlfn.IFNA(VLOOKUP($A506,PredictionTable,MATCH(H$1,Analysts,0),FALSE),60)</f>
        <v>60</v>
      </c>
      <c r="I506">
        <f>_xlfn.IFNA(VLOOKUP($A506,PredictionTable,MATCH(I$1,Analysts,0),FALSE),60)</f>
        <v>60</v>
      </c>
      <c r="J506">
        <f>_xlfn.IFNA(VLOOKUP($A506,PredictionTable,MATCH(J$1,Analysts,0),FALSE),60)</f>
        <v>60</v>
      </c>
      <c r="K506">
        <f>_xlfn.IFNA(VLOOKUP($A506,PredictionTable,MATCH(K$1,Analysts,0),FALSE),60)</f>
        <v>60</v>
      </c>
      <c r="L506">
        <f>_xlfn.IFNA(VLOOKUP($A506,PredictionTable,MATCH(L$1,Analysts,0),FALSE),60)</f>
        <v>60</v>
      </c>
      <c r="M506">
        <f>_xlfn.IFNA(VLOOKUP($A506,PredictionTable,MATCH(M$1,Analysts,0),FALSE),60)</f>
        <v>60</v>
      </c>
      <c r="N506">
        <f>_xlfn.IFNA(VLOOKUP($A506,PredictionTable,MATCH(N$1,Analysts,0),FALSE),60)</f>
        <v>60</v>
      </c>
      <c r="O506">
        <f>_xlfn.IFNA(VLOOKUP($A506,PredictionTable,MATCH(O$1,Analysts,0),FALSE),60)</f>
        <v>60</v>
      </c>
      <c r="P506">
        <f>_xlfn.IFNA(VLOOKUP($A506,PredictionTable,MATCH(P$1,Analysts,0),FALSE),60)</f>
        <v>60</v>
      </c>
      <c r="V506" s="7" t="s">
        <v>589</v>
      </c>
    </row>
    <row r="507" spans="1:22" x14ac:dyDescent="0.45">
      <c r="A507" s="1" t="s">
        <v>513</v>
      </c>
      <c r="B507" s="1" t="s">
        <v>343</v>
      </c>
      <c r="C507" s="1">
        <f>INDEX(T_Performances,MATCH($A507,T_Names,0))</f>
        <v>0</v>
      </c>
      <c r="D507">
        <v>6.9</v>
      </c>
      <c r="E507" s="1">
        <f>INDEX(T_Avg_PPG,MATCH($A507,T_Names,0))</f>
        <v>3.45</v>
      </c>
      <c r="F507">
        <f>1+COUNTIFS(T_Total,"&gt;"&amp;D507,T_Pos,$B507)</f>
        <v>171</v>
      </c>
      <c r="G507">
        <f>1+COUNTIFS(T_Avg_PPG,"&gt;"&amp;E507,T_Pos,$B507)</f>
        <v>154</v>
      </c>
      <c r="H507">
        <f>_xlfn.IFNA(VLOOKUP($A507,PredictionTable,MATCH(H$1,Analysts,0),FALSE),60)</f>
        <v>60</v>
      </c>
      <c r="I507">
        <f>_xlfn.IFNA(VLOOKUP($A507,PredictionTable,MATCH(I$1,Analysts,0),FALSE),60)</f>
        <v>60</v>
      </c>
      <c r="J507">
        <f>_xlfn.IFNA(VLOOKUP($A507,PredictionTable,MATCH(J$1,Analysts,0),FALSE),60)</f>
        <v>60</v>
      </c>
      <c r="K507">
        <f>_xlfn.IFNA(VLOOKUP($A507,PredictionTable,MATCH(K$1,Analysts,0),FALSE),60)</f>
        <v>60</v>
      </c>
      <c r="L507">
        <f>_xlfn.IFNA(VLOOKUP($A507,PredictionTable,MATCH(L$1,Analysts,0),FALSE),60)</f>
        <v>60</v>
      </c>
      <c r="M507">
        <f>_xlfn.IFNA(VLOOKUP($A507,PredictionTable,MATCH(M$1,Analysts,0),FALSE),60)</f>
        <v>60</v>
      </c>
      <c r="N507">
        <f>_xlfn.IFNA(VLOOKUP($A507,PredictionTable,MATCH(N$1,Analysts,0),FALSE),60)</f>
        <v>60</v>
      </c>
      <c r="O507">
        <f>_xlfn.IFNA(VLOOKUP($A507,PredictionTable,MATCH(O$1,Analysts,0),FALSE),60)</f>
        <v>60</v>
      </c>
      <c r="P507">
        <f>_xlfn.IFNA(VLOOKUP($A507,PredictionTable,MATCH(P$1,Analysts,0),FALSE),60)</f>
        <v>60</v>
      </c>
      <c r="V507" s="7" t="s">
        <v>589</v>
      </c>
    </row>
    <row r="508" spans="1:22" x14ac:dyDescent="0.45">
      <c r="A508" s="1" t="s">
        <v>514</v>
      </c>
      <c r="B508" s="1" t="s">
        <v>343</v>
      </c>
      <c r="C508" s="1">
        <f>INDEX(T_Performances,MATCH($A508,T_Names,0))</f>
        <v>0</v>
      </c>
      <c r="D508">
        <v>6.7</v>
      </c>
      <c r="E508" s="1">
        <f>INDEX(T_Avg_PPG,MATCH($A508,T_Names,0))</f>
        <v>3.35</v>
      </c>
      <c r="F508">
        <f>1+COUNTIFS(T_Total,"&gt;"&amp;D508,T_Pos,$B508)</f>
        <v>172</v>
      </c>
      <c r="G508">
        <f>1+COUNTIFS(T_Avg_PPG,"&gt;"&amp;E508,T_Pos,$B508)</f>
        <v>156</v>
      </c>
      <c r="H508">
        <f>_xlfn.IFNA(VLOOKUP($A508,PredictionTable,MATCH(H$1,Analysts,0),FALSE),60)</f>
        <v>60</v>
      </c>
      <c r="I508">
        <f>_xlfn.IFNA(VLOOKUP($A508,PredictionTable,MATCH(I$1,Analysts,0),FALSE),60)</f>
        <v>60</v>
      </c>
      <c r="J508">
        <f>_xlfn.IFNA(VLOOKUP($A508,PredictionTable,MATCH(J$1,Analysts,0),FALSE),60)</f>
        <v>60</v>
      </c>
      <c r="K508">
        <f>_xlfn.IFNA(VLOOKUP($A508,PredictionTable,MATCH(K$1,Analysts,0),FALSE),60)</f>
        <v>60</v>
      </c>
      <c r="L508">
        <f>_xlfn.IFNA(VLOOKUP($A508,PredictionTable,MATCH(L$1,Analysts,0),FALSE),60)</f>
        <v>60</v>
      </c>
      <c r="M508">
        <f>_xlfn.IFNA(VLOOKUP($A508,PredictionTable,MATCH(M$1,Analysts,0),FALSE),60)</f>
        <v>60</v>
      </c>
      <c r="N508">
        <f>_xlfn.IFNA(VLOOKUP($A508,PredictionTable,MATCH(N$1,Analysts,0),FALSE),60)</f>
        <v>60</v>
      </c>
      <c r="O508">
        <f>_xlfn.IFNA(VLOOKUP($A508,PredictionTable,MATCH(O$1,Analysts,0),FALSE),60)</f>
        <v>60</v>
      </c>
      <c r="P508">
        <f>_xlfn.IFNA(VLOOKUP($A508,PredictionTable,MATCH(P$1,Analysts,0),FALSE),60)</f>
        <v>60</v>
      </c>
      <c r="V508" s="7" t="s">
        <v>589</v>
      </c>
    </row>
    <row r="509" spans="1:22" x14ac:dyDescent="0.45">
      <c r="A509" s="1" t="s">
        <v>515</v>
      </c>
      <c r="B509" s="1" t="s">
        <v>343</v>
      </c>
      <c r="C509" s="1">
        <f>INDEX(T_Performances,MATCH($A509,T_Names,0))</f>
        <v>0</v>
      </c>
      <c r="D509">
        <v>5.9</v>
      </c>
      <c r="E509" s="1">
        <f>INDEX(T_Avg_PPG,MATCH($A509,T_Names,0))</f>
        <v>1.9666666666666668</v>
      </c>
      <c r="F509">
        <f>1+COUNTIFS(T_Total,"&gt;"&amp;D509,T_Pos,$B509)</f>
        <v>173</v>
      </c>
      <c r="G509">
        <f>1+COUNTIFS(T_Avg_PPG,"&gt;"&amp;E509,T_Pos,$B509)</f>
        <v>187</v>
      </c>
      <c r="H509">
        <f>_xlfn.IFNA(VLOOKUP($A509,PredictionTable,MATCH(H$1,Analysts,0),FALSE),60)</f>
        <v>60</v>
      </c>
      <c r="I509">
        <f>_xlfn.IFNA(VLOOKUP($A509,PredictionTable,MATCH(I$1,Analysts,0),FALSE),60)</f>
        <v>60</v>
      </c>
      <c r="J509">
        <f>_xlfn.IFNA(VLOOKUP($A509,PredictionTable,MATCH(J$1,Analysts,0),FALSE),60)</f>
        <v>60</v>
      </c>
      <c r="K509">
        <f>_xlfn.IFNA(VLOOKUP($A509,PredictionTable,MATCH(K$1,Analysts,0),FALSE),60)</f>
        <v>60</v>
      </c>
      <c r="L509">
        <f>_xlfn.IFNA(VLOOKUP($A509,PredictionTable,MATCH(L$1,Analysts,0),FALSE),60)</f>
        <v>60</v>
      </c>
      <c r="M509">
        <f>_xlfn.IFNA(VLOOKUP($A509,PredictionTable,MATCH(M$1,Analysts,0),FALSE),60)</f>
        <v>60</v>
      </c>
      <c r="N509">
        <f>_xlfn.IFNA(VLOOKUP($A509,PredictionTable,MATCH(N$1,Analysts,0),FALSE),60)</f>
        <v>60</v>
      </c>
      <c r="O509">
        <f>_xlfn.IFNA(VLOOKUP($A509,PredictionTable,MATCH(O$1,Analysts,0),FALSE),60)</f>
        <v>60</v>
      </c>
      <c r="P509">
        <f>_xlfn.IFNA(VLOOKUP($A509,PredictionTable,MATCH(P$1,Analysts,0),FALSE),60)</f>
        <v>60</v>
      </c>
      <c r="V509" s="7" t="s">
        <v>589</v>
      </c>
    </row>
    <row r="510" spans="1:22" x14ac:dyDescent="0.45">
      <c r="A510" s="1" t="s">
        <v>516</v>
      </c>
      <c r="B510" s="1" t="s">
        <v>343</v>
      </c>
      <c r="C510" s="1">
        <f>INDEX(T_Performances,MATCH($A510,T_Names,0))</f>
        <v>0</v>
      </c>
      <c r="D510">
        <v>5.8</v>
      </c>
      <c r="E510" s="1">
        <f>INDEX(T_Avg_PPG,MATCH($A510,T_Names,0))</f>
        <v>5.8</v>
      </c>
      <c r="F510">
        <f>1+COUNTIFS(T_Total,"&gt;"&amp;D510,T_Pos,$B510)</f>
        <v>174</v>
      </c>
      <c r="G510">
        <f>1+COUNTIFS(T_Avg_PPG,"&gt;"&amp;E510,T_Pos,$B510)</f>
        <v>105</v>
      </c>
      <c r="H510">
        <f>_xlfn.IFNA(VLOOKUP($A510,PredictionTable,MATCH(H$1,Analysts,0),FALSE),60)</f>
        <v>60</v>
      </c>
      <c r="I510">
        <f>_xlfn.IFNA(VLOOKUP($A510,PredictionTable,MATCH(I$1,Analysts,0),FALSE),60)</f>
        <v>60</v>
      </c>
      <c r="J510">
        <f>_xlfn.IFNA(VLOOKUP($A510,PredictionTable,MATCH(J$1,Analysts,0),FALSE),60)</f>
        <v>60</v>
      </c>
      <c r="K510">
        <f>_xlfn.IFNA(VLOOKUP($A510,PredictionTable,MATCH(K$1,Analysts,0),FALSE),60)</f>
        <v>60</v>
      </c>
      <c r="L510">
        <f>_xlfn.IFNA(VLOOKUP($A510,PredictionTable,MATCH(L$1,Analysts,0),FALSE),60)</f>
        <v>60</v>
      </c>
      <c r="M510">
        <f>_xlfn.IFNA(VLOOKUP($A510,PredictionTable,MATCH(M$1,Analysts,0),FALSE),60)</f>
        <v>60</v>
      </c>
      <c r="N510">
        <f>_xlfn.IFNA(VLOOKUP($A510,PredictionTable,MATCH(N$1,Analysts,0),FALSE),60)</f>
        <v>60</v>
      </c>
      <c r="O510">
        <f>_xlfn.IFNA(VLOOKUP($A510,PredictionTable,MATCH(O$1,Analysts,0),FALSE),60)</f>
        <v>60</v>
      </c>
      <c r="P510">
        <f>_xlfn.IFNA(VLOOKUP($A510,PredictionTable,MATCH(P$1,Analysts,0),FALSE),60)</f>
        <v>60</v>
      </c>
      <c r="V510" s="7" t="s">
        <v>589</v>
      </c>
    </row>
    <row r="511" spans="1:22" x14ac:dyDescent="0.45">
      <c r="A511" s="1" t="s">
        <v>517</v>
      </c>
      <c r="B511" s="1" t="s">
        <v>343</v>
      </c>
      <c r="C511" s="1">
        <f>INDEX(T_Performances,MATCH($A511,T_Names,0))</f>
        <v>0</v>
      </c>
      <c r="D511">
        <v>5.6</v>
      </c>
      <c r="E511" s="1">
        <f>INDEX(T_Avg_PPG,MATCH($A511,T_Names,0))</f>
        <v>1.8666666666666665</v>
      </c>
      <c r="F511">
        <f>1+COUNTIFS(T_Total,"&gt;"&amp;D511,T_Pos,$B511)</f>
        <v>175</v>
      </c>
      <c r="G511">
        <f>1+COUNTIFS(T_Avg_PPG,"&gt;"&amp;E511,T_Pos,$B511)</f>
        <v>189</v>
      </c>
      <c r="H511">
        <f>_xlfn.IFNA(VLOOKUP($A511,PredictionTable,MATCH(H$1,Analysts,0),FALSE),60)</f>
        <v>60</v>
      </c>
      <c r="I511">
        <f>_xlfn.IFNA(VLOOKUP($A511,PredictionTable,MATCH(I$1,Analysts,0),FALSE),60)</f>
        <v>60</v>
      </c>
      <c r="J511">
        <f>_xlfn.IFNA(VLOOKUP($A511,PredictionTable,MATCH(J$1,Analysts,0),FALSE),60)</f>
        <v>60</v>
      </c>
      <c r="K511">
        <f>_xlfn.IFNA(VLOOKUP($A511,PredictionTable,MATCH(K$1,Analysts,0),FALSE),60)</f>
        <v>60</v>
      </c>
      <c r="L511">
        <f>_xlfn.IFNA(VLOOKUP($A511,PredictionTable,MATCH(L$1,Analysts,0),FALSE),60)</f>
        <v>60</v>
      </c>
      <c r="M511">
        <f>_xlfn.IFNA(VLOOKUP($A511,PredictionTable,MATCH(M$1,Analysts,0),FALSE),60)</f>
        <v>60</v>
      </c>
      <c r="N511">
        <f>_xlfn.IFNA(VLOOKUP($A511,PredictionTable,MATCH(N$1,Analysts,0),FALSE),60)</f>
        <v>60</v>
      </c>
      <c r="O511">
        <f>_xlfn.IFNA(VLOOKUP($A511,PredictionTable,MATCH(O$1,Analysts,0),FALSE),60)</f>
        <v>60</v>
      </c>
      <c r="P511">
        <f>_xlfn.IFNA(VLOOKUP($A511,PredictionTable,MATCH(P$1,Analysts,0),FALSE),60)</f>
        <v>60</v>
      </c>
      <c r="V511" s="7" t="s">
        <v>589</v>
      </c>
    </row>
    <row r="512" spans="1:22" x14ac:dyDescent="0.45">
      <c r="A512" s="1" t="s">
        <v>518</v>
      </c>
      <c r="B512" s="1" t="s">
        <v>343</v>
      </c>
      <c r="C512" s="1">
        <f>INDEX(T_Performances,MATCH($A512,T_Names,0))</f>
        <v>0</v>
      </c>
      <c r="D512">
        <v>5.6</v>
      </c>
      <c r="E512" s="1">
        <f>INDEX(T_Avg_PPG,MATCH($A512,T_Names,0))</f>
        <v>1.8666666666666665</v>
      </c>
      <c r="F512">
        <f>1+COUNTIFS(T_Total,"&gt;"&amp;D512,T_Pos,$B512)</f>
        <v>175</v>
      </c>
      <c r="G512">
        <f>1+COUNTIFS(T_Avg_PPG,"&gt;"&amp;E512,T_Pos,$B512)</f>
        <v>189</v>
      </c>
      <c r="H512">
        <f>_xlfn.IFNA(VLOOKUP($A512,PredictionTable,MATCH(H$1,Analysts,0),FALSE),60)</f>
        <v>60</v>
      </c>
      <c r="I512">
        <f>_xlfn.IFNA(VLOOKUP($A512,PredictionTable,MATCH(I$1,Analysts,0),FALSE),60)</f>
        <v>60</v>
      </c>
      <c r="J512">
        <f>_xlfn.IFNA(VLOOKUP($A512,PredictionTable,MATCH(J$1,Analysts,0),FALSE),60)</f>
        <v>60</v>
      </c>
      <c r="K512">
        <f>_xlfn.IFNA(VLOOKUP($A512,PredictionTable,MATCH(K$1,Analysts,0),FALSE),60)</f>
        <v>60</v>
      </c>
      <c r="L512">
        <f>_xlfn.IFNA(VLOOKUP($A512,PredictionTable,MATCH(L$1,Analysts,0),FALSE),60)</f>
        <v>60</v>
      </c>
      <c r="M512">
        <f>_xlfn.IFNA(VLOOKUP($A512,PredictionTable,MATCH(M$1,Analysts,0),FALSE),60)</f>
        <v>60</v>
      </c>
      <c r="N512">
        <f>_xlfn.IFNA(VLOOKUP($A512,PredictionTable,MATCH(N$1,Analysts,0),FALSE),60)</f>
        <v>60</v>
      </c>
      <c r="O512">
        <f>_xlfn.IFNA(VLOOKUP($A512,PredictionTable,MATCH(O$1,Analysts,0),FALSE),60)</f>
        <v>60</v>
      </c>
      <c r="P512">
        <f>_xlfn.IFNA(VLOOKUP($A512,PredictionTable,MATCH(P$1,Analysts,0),FALSE),60)</f>
        <v>60</v>
      </c>
      <c r="V512" s="7" t="s">
        <v>589</v>
      </c>
    </row>
    <row r="513" spans="1:22" x14ac:dyDescent="0.45">
      <c r="A513" s="1" t="s">
        <v>519</v>
      </c>
      <c r="B513" s="1" t="s">
        <v>343</v>
      </c>
      <c r="C513" s="1">
        <f>INDEX(T_Performances,MATCH($A513,T_Names,0))</f>
        <v>0</v>
      </c>
      <c r="D513">
        <v>5.5</v>
      </c>
      <c r="E513" s="1">
        <f>INDEX(T_Avg_PPG,MATCH($A513,T_Names,0))</f>
        <v>1.8333333333333333</v>
      </c>
      <c r="F513">
        <f>1+COUNTIFS(T_Total,"&gt;"&amp;D513,T_Pos,$B513)</f>
        <v>177</v>
      </c>
      <c r="G513">
        <f>1+COUNTIFS(T_Avg_PPG,"&gt;"&amp;E513,T_Pos,$B513)</f>
        <v>192</v>
      </c>
      <c r="H513">
        <f>_xlfn.IFNA(VLOOKUP($A513,PredictionTable,MATCH(H$1,Analysts,0),FALSE),60)</f>
        <v>60</v>
      </c>
      <c r="I513">
        <f>_xlfn.IFNA(VLOOKUP($A513,PredictionTable,MATCH(I$1,Analysts,0),FALSE),60)</f>
        <v>60</v>
      </c>
      <c r="J513">
        <f>_xlfn.IFNA(VLOOKUP($A513,PredictionTable,MATCH(J$1,Analysts,0),FALSE),60)</f>
        <v>60</v>
      </c>
      <c r="K513">
        <f>_xlfn.IFNA(VLOOKUP($A513,PredictionTable,MATCH(K$1,Analysts,0),FALSE),60)</f>
        <v>60</v>
      </c>
      <c r="L513">
        <f>_xlfn.IFNA(VLOOKUP($A513,PredictionTable,MATCH(L$1,Analysts,0),FALSE),60)</f>
        <v>60</v>
      </c>
      <c r="M513">
        <f>_xlfn.IFNA(VLOOKUP($A513,PredictionTable,MATCH(M$1,Analysts,0),FALSE),60)</f>
        <v>60</v>
      </c>
      <c r="N513">
        <f>_xlfn.IFNA(VLOOKUP($A513,PredictionTable,MATCH(N$1,Analysts,0),FALSE),60)</f>
        <v>60</v>
      </c>
      <c r="O513">
        <f>_xlfn.IFNA(VLOOKUP($A513,PredictionTable,MATCH(O$1,Analysts,0),FALSE),60)</f>
        <v>60</v>
      </c>
      <c r="P513">
        <f>_xlfn.IFNA(VLOOKUP($A513,PredictionTable,MATCH(P$1,Analysts,0),FALSE),60)</f>
        <v>60</v>
      </c>
      <c r="V513" s="7" t="s">
        <v>589</v>
      </c>
    </row>
    <row r="514" spans="1:22" x14ac:dyDescent="0.45">
      <c r="A514" s="1" t="s">
        <v>520</v>
      </c>
      <c r="B514" s="1" t="s">
        <v>343</v>
      </c>
      <c r="C514" s="1">
        <f>INDEX(T_Performances,MATCH($A514,T_Names,0))</f>
        <v>0</v>
      </c>
      <c r="D514">
        <v>5.4</v>
      </c>
      <c r="E514" s="1">
        <f>INDEX(T_Avg_PPG,MATCH($A514,T_Names,0))</f>
        <v>5.4</v>
      </c>
      <c r="F514">
        <f>1+COUNTIFS(T_Total,"&gt;"&amp;D514,T_Pos,$B514)</f>
        <v>178</v>
      </c>
      <c r="G514">
        <f>1+COUNTIFS(T_Avg_PPG,"&gt;"&amp;E514,T_Pos,$B514)</f>
        <v>110</v>
      </c>
      <c r="H514">
        <f>_xlfn.IFNA(VLOOKUP($A514,PredictionTable,MATCH(H$1,Analysts,0),FALSE),60)</f>
        <v>60</v>
      </c>
      <c r="I514">
        <f>_xlfn.IFNA(VLOOKUP($A514,PredictionTable,MATCH(I$1,Analysts,0),FALSE),60)</f>
        <v>60</v>
      </c>
      <c r="J514">
        <f>_xlfn.IFNA(VLOOKUP($A514,PredictionTable,MATCH(J$1,Analysts,0),FALSE),60)</f>
        <v>60</v>
      </c>
      <c r="K514">
        <f>_xlfn.IFNA(VLOOKUP($A514,PredictionTable,MATCH(K$1,Analysts,0),FALSE),60)</f>
        <v>60</v>
      </c>
      <c r="L514">
        <f>_xlfn.IFNA(VLOOKUP($A514,PredictionTable,MATCH(L$1,Analysts,0),FALSE),60)</f>
        <v>60</v>
      </c>
      <c r="M514">
        <f>_xlfn.IFNA(VLOOKUP($A514,PredictionTable,MATCH(M$1,Analysts,0),FALSE),60)</f>
        <v>60</v>
      </c>
      <c r="N514">
        <f>_xlfn.IFNA(VLOOKUP($A514,PredictionTable,MATCH(N$1,Analysts,0),FALSE),60)</f>
        <v>60</v>
      </c>
      <c r="O514">
        <f>_xlfn.IFNA(VLOOKUP($A514,PredictionTable,MATCH(O$1,Analysts,0),FALSE),60)</f>
        <v>60</v>
      </c>
      <c r="P514">
        <f>_xlfn.IFNA(VLOOKUP($A514,PredictionTable,MATCH(P$1,Analysts,0),FALSE),60)</f>
        <v>60</v>
      </c>
      <c r="V514" s="7" t="s">
        <v>589</v>
      </c>
    </row>
    <row r="515" spans="1:22" x14ac:dyDescent="0.45">
      <c r="A515" s="1" t="s">
        <v>521</v>
      </c>
      <c r="B515" s="1" t="s">
        <v>343</v>
      </c>
      <c r="C515" s="1">
        <f>INDEX(T_Performances,MATCH($A515,T_Names,0))</f>
        <v>0</v>
      </c>
      <c r="D515">
        <v>5.2</v>
      </c>
      <c r="E515" s="1">
        <f>INDEX(T_Avg_PPG,MATCH($A515,T_Names,0))</f>
        <v>1.7333333333333334</v>
      </c>
      <c r="F515">
        <f>1+COUNTIFS(T_Total,"&gt;"&amp;D515,T_Pos,$B515)</f>
        <v>179</v>
      </c>
      <c r="G515">
        <f>1+COUNTIFS(T_Avg_PPG,"&gt;"&amp;E515,T_Pos,$B515)</f>
        <v>194</v>
      </c>
      <c r="H515">
        <f>_xlfn.IFNA(VLOOKUP($A515,PredictionTable,MATCH(H$1,Analysts,0),FALSE),60)</f>
        <v>60</v>
      </c>
      <c r="I515">
        <f>_xlfn.IFNA(VLOOKUP($A515,PredictionTable,MATCH(I$1,Analysts,0),FALSE),60)</f>
        <v>60</v>
      </c>
      <c r="J515">
        <f>_xlfn.IFNA(VLOOKUP($A515,PredictionTable,MATCH(J$1,Analysts,0),FALSE),60)</f>
        <v>60</v>
      </c>
      <c r="K515">
        <f>_xlfn.IFNA(VLOOKUP($A515,PredictionTable,MATCH(K$1,Analysts,0),FALSE),60)</f>
        <v>60</v>
      </c>
      <c r="L515">
        <f>_xlfn.IFNA(VLOOKUP($A515,PredictionTable,MATCH(L$1,Analysts,0),FALSE),60)</f>
        <v>60</v>
      </c>
      <c r="M515">
        <f>_xlfn.IFNA(VLOOKUP($A515,PredictionTable,MATCH(M$1,Analysts,0),FALSE),60)</f>
        <v>60</v>
      </c>
      <c r="N515">
        <f>_xlfn.IFNA(VLOOKUP($A515,PredictionTable,MATCH(N$1,Analysts,0),FALSE),60)</f>
        <v>60</v>
      </c>
      <c r="O515">
        <f>_xlfn.IFNA(VLOOKUP($A515,PredictionTable,MATCH(O$1,Analysts,0),FALSE),60)</f>
        <v>60</v>
      </c>
      <c r="P515">
        <f>_xlfn.IFNA(VLOOKUP($A515,PredictionTable,MATCH(P$1,Analysts,0),FALSE),60)</f>
        <v>60</v>
      </c>
      <c r="V515" s="7" t="s">
        <v>589</v>
      </c>
    </row>
    <row r="516" spans="1:22" x14ac:dyDescent="0.45">
      <c r="A516" s="1" t="s">
        <v>522</v>
      </c>
      <c r="B516" s="1" t="s">
        <v>343</v>
      </c>
      <c r="C516" s="1">
        <f>INDEX(T_Performances,MATCH($A516,T_Names,0))</f>
        <v>0</v>
      </c>
      <c r="D516">
        <v>5.2</v>
      </c>
      <c r="E516" s="1">
        <f>INDEX(T_Avg_PPG,MATCH($A516,T_Names,0))</f>
        <v>2.6</v>
      </c>
      <c r="F516">
        <f>1+COUNTIFS(T_Total,"&gt;"&amp;D516,T_Pos,$B516)</f>
        <v>179</v>
      </c>
      <c r="G516">
        <f>1+COUNTIFS(T_Avg_PPG,"&gt;"&amp;E516,T_Pos,$B516)</f>
        <v>173</v>
      </c>
      <c r="H516">
        <f>_xlfn.IFNA(VLOOKUP($A516,PredictionTable,MATCH(H$1,Analysts,0),FALSE),60)</f>
        <v>60</v>
      </c>
      <c r="I516">
        <f>_xlfn.IFNA(VLOOKUP($A516,PredictionTable,MATCH(I$1,Analysts,0),FALSE),60)</f>
        <v>60</v>
      </c>
      <c r="J516">
        <f>_xlfn.IFNA(VLOOKUP($A516,PredictionTable,MATCH(J$1,Analysts,0),FALSE),60)</f>
        <v>60</v>
      </c>
      <c r="K516">
        <f>_xlfn.IFNA(VLOOKUP($A516,PredictionTable,MATCH(K$1,Analysts,0),FALSE),60)</f>
        <v>60</v>
      </c>
      <c r="L516">
        <f>_xlfn.IFNA(VLOOKUP($A516,PredictionTable,MATCH(L$1,Analysts,0),FALSE),60)</f>
        <v>60</v>
      </c>
      <c r="M516">
        <f>_xlfn.IFNA(VLOOKUP($A516,PredictionTable,MATCH(M$1,Analysts,0),FALSE),60)</f>
        <v>60</v>
      </c>
      <c r="N516">
        <f>_xlfn.IFNA(VLOOKUP($A516,PredictionTable,MATCH(N$1,Analysts,0),FALSE),60)</f>
        <v>60</v>
      </c>
      <c r="O516">
        <f>_xlfn.IFNA(VLOOKUP($A516,PredictionTable,MATCH(O$1,Analysts,0),FALSE),60)</f>
        <v>60</v>
      </c>
      <c r="P516">
        <f>_xlfn.IFNA(VLOOKUP($A516,PredictionTable,MATCH(P$1,Analysts,0),FALSE),60)</f>
        <v>60</v>
      </c>
      <c r="V516" s="7" t="s">
        <v>589</v>
      </c>
    </row>
    <row r="517" spans="1:22" x14ac:dyDescent="0.45">
      <c r="A517" s="1" t="s">
        <v>523</v>
      </c>
      <c r="B517" s="1" t="s">
        <v>343</v>
      </c>
      <c r="C517" s="1">
        <f>INDEX(T_Performances,MATCH($A517,T_Names,0))</f>
        <v>0</v>
      </c>
      <c r="D517">
        <v>4.7</v>
      </c>
      <c r="E517" s="1">
        <f>INDEX(T_Avg_PPG,MATCH($A517,T_Names,0))</f>
        <v>2.35</v>
      </c>
      <c r="F517">
        <f>1+COUNTIFS(T_Total,"&gt;"&amp;D517,T_Pos,$B517)</f>
        <v>181</v>
      </c>
      <c r="G517">
        <f>1+COUNTIFS(T_Avg_PPG,"&gt;"&amp;E517,T_Pos,$B517)</f>
        <v>180</v>
      </c>
      <c r="H517">
        <f>_xlfn.IFNA(VLOOKUP($A517,PredictionTable,MATCH(H$1,Analysts,0),FALSE),60)</f>
        <v>60</v>
      </c>
      <c r="I517">
        <f>_xlfn.IFNA(VLOOKUP($A517,PredictionTable,MATCH(I$1,Analysts,0),FALSE),60)</f>
        <v>60</v>
      </c>
      <c r="J517">
        <f>_xlfn.IFNA(VLOOKUP($A517,PredictionTable,MATCH(J$1,Analysts,0),FALSE),60)</f>
        <v>60</v>
      </c>
      <c r="K517">
        <f>_xlfn.IFNA(VLOOKUP($A517,PredictionTable,MATCH(K$1,Analysts,0),FALSE),60)</f>
        <v>60</v>
      </c>
      <c r="L517">
        <f>_xlfn.IFNA(VLOOKUP($A517,PredictionTable,MATCH(L$1,Analysts,0),FALSE),60)</f>
        <v>60</v>
      </c>
      <c r="M517">
        <f>_xlfn.IFNA(VLOOKUP($A517,PredictionTable,MATCH(M$1,Analysts,0),FALSE),60)</f>
        <v>60</v>
      </c>
      <c r="N517">
        <f>_xlfn.IFNA(VLOOKUP($A517,PredictionTable,MATCH(N$1,Analysts,0),FALSE),60)</f>
        <v>60</v>
      </c>
      <c r="O517">
        <f>_xlfn.IFNA(VLOOKUP($A517,PredictionTable,MATCH(O$1,Analysts,0),FALSE),60)</f>
        <v>60</v>
      </c>
      <c r="P517">
        <f>_xlfn.IFNA(VLOOKUP($A517,PredictionTable,MATCH(P$1,Analysts,0),FALSE),60)</f>
        <v>60</v>
      </c>
      <c r="V517" s="7" t="s">
        <v>589</v>
      </c>
    </row>
    <row r="518" spans="1:22" x14ac:dyDescent="0.45">
      <c r="A518" s="1" t="s">
        <v>524</v>
      </c>
      <c r="B518" s="1" t="s">
        <v>343</v>
      </c>
      <c r="C518" s="1">
        <f>INDEX(T_Performances,MATCH($A518,T_Names,0))</f>
        <v>0</v>
      </c>
      <c r="D518">
        <v>4.5999999999999996</v>
      </c>
      <c r="E518" s="1">
        <f>INDEX(T_Avg_PPG,MATCH($A518,T_Names,0))</f>
        <v>4.5999999999999996</v>
      </c>
      <c r="F518">
        <f>1+COUNTIFS(T_Total,"&gt;"&amp;D518,T_Pos,$B518)</f>
        <v>182</v>
      </c>
      <c r="G518">
        <f>1+COUNTIFS(T_Avg_PPG,"&gt;"&amp;E518,T_Pos,$B518)</f>
        <v>125</v>
      </c>
      <c r="H518">
        <f>_xlfn.IFNA(VLOOKUP($A518,PredictionTable,MATCH(H$1,Analysts,0),FALSE),60)</f>
        <v>60</v>
      </c>
      <c r="I518">
        <f>_xlfn.IFNA(VLOOKUP($A518,PredictionTable,MATCH(I$1,Analysts,0),FALSE),60)</f>
        <v>60</v>
      </c>
      <c r="J518">
        <f>_xlfn.IFNA(VLOOKUP($A518,PredictionTable,MATCH(J$1,Analysts,0),FALSE),60)</f>
        <v>60</v>
      </c>
      <c r="K518">
        <f>_xlfn.IFNA(VLOOKUP($A518,PredictionTable,MATCH(K$1,Analysts,0),FALSE),60)</f>
        <v>60</v>
      </c>
      <c r="L518">
        <f>_xlfn.IFNA(VLOOKUP($A518,PredictionTable,MATCH(L$1,Analysts,0),FALSE),60)</f>
        <v>60</v>
      </c>
      <c r="M518">
        <f>_xlfn.IFNA(VLOOKUP($A518,PredictionTable,MATCH(M$1,Analysts,0),FALSE),60)</f>
        <v>60</v>
      </c>
      <c r="N518">
        <f>_xlfn.IFNA(VLOOKUP($A518,PredictionTable,MATCH(N$1,Analysts,0),FALSE),60)</f>
        <v>60</v>
      </c>
      <c r="O518">
        <f>_xlfn.IFNA(VLOOKUP($A518,PredictionTable,MATCH(O$1,Analysts,0),FALSE),60)</f>
        <v>60</v>
      </c>
      <c r="P518">
        <f>_xlfn.IFNA(VLOOKUP($A518,PredictionTable,MATCH(P$1,Analysts,0),FALSE),60)</f>
        <v>60</v>
      </c>
      <c r="V518" s="7" t="s">
        <v>589</v>
      </c>
    </row>
    <row r="519" spans="1:22" x14ac:dyDescent="0.45">
      <c r="A519" s="1" t="s">
        <v>525</v>
      </c>
      <c r="B519" s="1" t="s">
        <v>343</v>
      </c>
      <c r="C519" s="1">
        <f>INDEX(T_Performances,MATCH($A519,T_Names,0))</f>
        <v>0</v>
      </c>
      <c r="D519">
        <v>4.5</v>
      </c>
      <c r="E519" s="1">
        <f>INDEX(T_Avg_PPG,MATCH($A519,T_Names,0))</f>
        <v>2.25</v>
      </c>
      <c r="F519">
        <f>1+COUNTIFS(T_Total,"&gt;"&amp;D519,T_Pos,$B519)</f>
        <v>183</v>
      </c>
      <c r="G519">
        <f>1+COUNTIFS(T_Avg_PPG,"&gt;"&amp;E519,T_Pos,$B519)</f>
        <v>182</v>
      </c>
      <c r="H519">
        <f>_xlfn.IFNA(VLOOKUP($A519,PredictionTable,MATCH(H$1,Analysts,0),FALSE),60)</f>
        <v>60</v>
      </c>
      <c r="I519">
        <f>_xlfn.IFNA(VLOOKUP($A519,PredictionTable,MATCH(I$1,Analysts,0),FALSE),60)</f>
        <v>60</v>
      </c>
      <c r="J519">
        <f>_xlfn.IFNA(VLOOKUP($A519,PredictionTable,MATCH(J$1,Analysts,0),FALSE),60)</f>
        <v>60</v>
      </c>
      <c r="K519">
        <f>_xlfn.IFNA(VLOOKUP($A519,PredictionTable,MATCH(K$1,Analysts,0),FALSE),60)</f>
        <v>60</v>
      </c>
      <c r="L519">
        <f>_xlfn.IFNA(VLOOKUP($A519,PredictionTable,MATCH(L$1,Analysts,0),FALSE),60)</f>
        <v>60</v>
      </c>
      <c r="M519">
        <f>_xlfn.IFNA(VLOOKUP($A519,PredictionTable,MATCH(M$1,Analysts,0),FALSE),60)</f>
        <v>60</v>
      </c>
      <c r="N519">
        <f>_xlfn.IFNA(VLOOKUP($A519,PredictionTable,MATCH(N$1,Analysts,0),FALSE),60)</f>
        <v>60</v>
      </c>
      <c r="O519">
        <f>_xlfn.IFNA(VLOOKUP($A519,PredictionTable,MATCH(O$1,Analysts,0),FALSE),60)</f>
        <v>60</v>
      </c>
      <c r="P519">
        <f>_xlfn.IFNA(VLOOKUP($A519,PredictionTable,MATCH(P$1,Analysts,0),FALSE),60)</f>
        <v>60</v>
      </c>
      <c r="V519" s="7" t="s">
        <v>589</v>
      </c>
    </row>
    <row r="520" spans="1:22" x14ac:dyDescent="0.45">
      <c r="A520" s="1" t="s">
        <v>526</v>
      </c>
      <c r="B520" s="1" t="s">
        <v>343</v>
      </c>
      <c r="C520" s="1">
        <f>INDEX(T_Performances,MATCH($A520,T_Names,0))</f>
        <v>0</v>
      </c>
      <c r="D520">
        <v>4.2</v>
      </c>
      <c r="E520" s="1">
        <f>INDEX(T_Avg_PPG,MATCH($A520,T_Names,0))</f>
        <v>4.2</v>
      </c>
      <c r="F520">
        <f>1+COUNTIFS(T_Total,"&gt;"&amp;D520,T_Pos,$B520)</f>
        <v>184</v>
      </c>
      <c r="G520">
        <f>1+COUNTIFS(T_Avg_PPG,"&gt;"&amp;E520,T_Pos,$B520)</f>
        <v>140</v>
      </c>
      <c r="H520">
        <f>_xlfn.IFNA(VLOOKUP($A520,PredictionTable,MATCH(H$1,Analysts,0),FALSE),60)</f>
        <v>60</v>
      </c>
      <c r="I520">
        <f>_xlfn.IFNA(VLOOKUP($A520,PredictionTable,MATCH(I$1,Analysts,0),FALSE),60)</f>
        <v>60</v>
      </c>
      <c r="J520">
        <f>_xlfn.IFNA(VLOOKUP($A520,PredictionTable,MATCH(J$1,Analysts,0),FALSE),60)</f>
        <v>60</v>
      </c>
      <c r="K520">
        <f>_xlfn.IFNA(VLOOKUP($A520,PredictionTable,MATCH(K$1,Analysts,0),FALSE),60)</f>
        <v>60</v>
      </c>
      <c r="L520">
        <f>_xlfn.IFNA(VLOOKUP($A520,PredictionTable,MATCH(L$1,Analysts,0),FALSE),60)</f>
        <v>60</v>
      </c>
      <c r="M520">
        <f>_xlfn.IFNA(VLOOKUP($A520,PredictionTable,MATCH(M$1,Analysts,0),FALSE),60)</f>
        <v>60</v>
      </c>
      <c r="N520">
        <f>_xlfn.IFNA(VLOOKUP($A520,PredictionTable,MATCH(N$1,Analysts,0),FALSE),60)</f>
        <v>60</v>
      </c>
      <c r="O520">
        <f>_xlfn.IFNA(VLOOKUP($A520,PredictionTable,MATCH(O$1,Analysts,0),FALSE),60)</f>
        <v>60</v>
      </c>
      <c r="P520">
        <f>_xlfn.IFNA(VLOOKUP($A520,PredictionTable,MATCH(P$1,Analysts,0),FALSE),60)</f>
        <v>60</v>
      </c>
      <c r="V520" s="7" t="s">
        <v>589</v>
      </c>
    </row>
    <row r="521" spans="1:22" x14ac:dyDescent="0.45">
      <c r="A521" s="1" t="s">
        <v>527</v>
      </c>
      <c r="B521" s="1" t="s">
        <v>343</v>
      </c>
      <c r="C521" s="1">
        <f>INDEX(T_Performances,MATCH($A521,T_Names,0))</f>
        <v>0</v>
      </c>
      <c r="D521">
        <v>3.7</v>
      </c>
      <c r="E521" s="1">
        <f>INDEX(T_Avg_PPG,MATCH($A521,T_Names,0))</f>
        <v>1.85</v>
      </c>
      <c r="F521">
        <f>1+COUNTIFS(T_Total,"&gt;"&amp;D521,T_Pos,$B521)</f>
        <v>185</v>
      </c>
      <c r="G521">
        <f>1+COUNTIFS(T_Avg_PPG,"&gt;"&amp;E521,T_Pos,$B521)</f>
        <v>191</v>
      </c>
      <c r="H521">
        <f>_xlfn.IFNA(VLOOKUP($A521,PredictionTable,MATCH(H$1,Analysts,0),FALSE),60)</f>
        <v>60</v>
      </c>
      <c r="I521">
        <f>_xlfn.IFNA(VLOOKUP($A521,PredictionTable,MATCH(I$1,Analysts,0),FALSE),60)</f>
        <v>60</v>
      </c>
      <c r="J521">
        <f>_xlfn.IFNA(VLOOKUP($A521,PredictionTable,MATCH(J$1,Analysts,0),FALSE),60)</f>
        <v>60</v>
      </c>
      <c r="K521">
        <f>_xlfn.IFNA(VLOOKUP($A521,PredictionTable,MATCH(K$1,Analysts,0),FALSE),60)</f>
        <v>60</v>
      </c>
      <c r="L521">
        <f>_xlfn.IFNA(VLOOKUP($A521,PredictionTable,MATCH(L$1,Analysts,0),FALSE),60)</f>
        <v>60</v>
      </c>
      <c r="M521">
        <f>_xlfn.IFNA(VLOOKUP($A521,PredictionTable,MATCH(M$1,Analysts,0),FALSE),60)</f>
        <v>60</v>
      </c>
      <c r="N521">
        <f>_xlfn.IFNA(VLOOKUP($A521,PredictionTable,MATCH(N$1,Analysts,0),FALSE),60)</f>
        <v>60</v>
      </c>
      <c r="O521">
        <f>_xlfn.IFNA(VLOOKUP($A521,PredictionTable,MATCH(O$1,Analysts,0),FALSE),60)</f>
        <v>60</v>
      </c>
      <c r="P521">
        <f>_xlfn.IFNA(VLOOKUP($A521,PredictionTable,MATCH(P$1,Analysts,0),FALSE),60)</f>
        <v>60</v>
      </c>
      <c r="V521" s="7" t="s">
        <v>589</v>
      </c>
    </row>
    <row r="522" spans="1:22" x14ac:dyDescent="0.45">
      <c r="A522" s="1" t="s">
        <v>528</v>
      </c>
      <c r="B522" s="1" t="s">
        <v>343</v>
      </c>
      <c r="C522" s="1">
        <f>INDEX(T_Performances,MATCH($A522,T_Names,0))</f>
        <v>0</v>
      </c>
      <c r="D522">
        <v>3.7</v>
      </c>
      <c r="E522" s="1">
        <f>INDEX(T_Avg_PPG,MATCH($A522,T_Names,0))</f>
        <v>3.7</v>
      </c>
      <c r="F522">
        <f>1+COUNTIFS(T_Total,"&gt;"&amp;D522,T_Pos,$B522)</f>
        <v>185</v>
      </c>
      <c r="G522">
        <f>1+COUNTIFS(T_Avg_PPG,"&gt;"&amp;E522,T_Pos,$B522)</f>
        <v>151</v>
      </c>
      <c r="H522">
        <f>_xlfn.IFNA(VLOOKUP($A522,PredictionTable,MATCH(H$1,Analysts,0),FALSE),60)</f>
        <v>60</v>
      </c>
      <c r="I522">
        <f>_xlfn.IFNA(VLOOKUP($A522,PredictionTable,MATCH(I$1,Analysts,0),FALSE),60)</f>
        <v>60</v>
      </c>
      <c r="J522">
        <f>_xlfn.IFNA(VLOOKUP($A522,PredictionTable,MATCH(J$1,Analysts,0),FALSE),60)</f>
        <v>60</v>
      </c>
      <c r="K522">
        <f>_xlfn.IFNA(VLOOKUP($A522,PredictionTable,MATCH(K$1,Analysts,0),FALSE),60)</f>
        <v>60</v>
      </c>
      <c r="L522">
        <f>_xlfn.IFNA(VLOOKUP($A522,PredictionTable,MATCH(L$1,Analysts,0),FALSE),60)</f>
        <v>60</v>
      </c>
      <c r="M522">
        <f>_xlfn.IFNA(VLOOKUP($A522,PredictionTable,MATCH(M$1,Analysts,0),FALSE),60)</f>
        <v>60</v>
      </c>
      <c r="N522">
        <f>_xlfn.IFNA(VLOOKUP($A522,PredictionTable,MATCH(N$1,Analysts,0),FALSE),60)</f>
        <v>60</v>
      </c>
      <c r="O522">
        <f>_xlfn.IFNA(VLOOKUP($A522,PredictionTable,MATCH(O$1,Analysts,0),FALSE),60)</f>
        <v>60</v>
      </c>
      <c r="P522">
        <f>_xlfn.IFNA(VLOOKUP($A522,PredictionTable,MATCH(P$1,Analysts,0),FALSE),60)</f>
        <v>60</v>
      </c>
      <c r="V522" s="7" t="s">
        <v>589</v>
      </c>
    </row>
    <row r="523" spans="1:22" x14ac:dyDescent="0.45">
      <c r="A523" s="1" t="s">
        <v>529</v>
      </c>
      <c r="B523" s="1" t="s">
        <v>343</v>
      </c>
      <c r="C523" s="1">
        <f>INDEX(T_Performances,MATCH($A523,T_Names,0))</f>
        <v>0</v>
      </c>
      <c r="D523">
        <v>3.2</v>
      </c>
      <c r="E523" s="1">
        <f>INDEX(T_Avg_PPG,MATCH($A523,T_Names,0))</f>
        <v>1.6</v>
      </c>
      <c r="F523">
        <f>1+COUNTIFS(T_Total,"&gt;"&amp;D523,T_Pos,$B523)</f>
        <v>187</v>
      </c>
      <c r="G523">
        <f>1+COUNTIFS(T_Avg_PPG,"&gt;"&amp;E523,T_Pos,$B523)</f>
        <v>196</v>
      </c>
      <c r="H523">
        <f>_xlfn.IFNA(VLOOKUP($A523,PredictionTable,MATCH(H$1,Analysts,0),FALSE),60)</f>
        <v>60</v>
      </c>
      <c r="I523">
        <f>_xlfn.IFNA(VLOOKUP($A523,PredictionTable,MATCH(I$1,Analysts,0),FALSE),60)</f>
        <v>60</v>
      </c>
      <c r="J523">
        <f>_xlfn.IFNA(VLOOKUP($A523,PredictionTable,MATCH(J$1,Analysts,0),FALSE),60)</f>
        <v>60</v>
      </c>
      <c r="K523">
        <f>_xlfn.IFNA(VLOOKUP($A523,PredictionTable,MATCH(K$1,Analysts,0),FALSE),60)</f>
        <v>60</v>
      </c>
      <c r="L523">
        <f>_xlfn.IFNA(VLOOKUP($A523,PredictionTable,MATCH(L$1,Analysts,0),FALSE),60)</f>
        <v>60</v>
      </c>
      <c r="M523">
        <f>_xlfn.IFNA(VLOOKUP($A523,PredictionTable,MATCH(M$1,Analysts,0),FALSE),60)</f>
        <v>60</v>
      </c>
      <c r="N523">
        <f>_xlfn.IFNA(VLOOKUP($A523,PredictionTable,MATCH(N$1,Analysts,0),FALSE),60)</f>
        <v>60</v>
      </c>
      <c r="O523">
        <f>_xlfn.IFNA(VLOOKUP($A523,PredictionTable,MATCH(O$1,Analysts,0),FALSE),60)</f>
        <v>60</v>
      </c>
      <c r="P523">
        <f>_xlfn.IFNA(VLOOKUP($A523,PredictionTable,MATCH(P$1,Analysts,0),FALSE),60)</f>
        <v>60</v>
      </c>
      <c r="V523" s="7" t="s">
        <v>589</v>
      </c>
    </row>
    <row r="524" spans="1:22" x14ac:dyDescent="0.45">
      <c r="A524" s="1" t="s">
        <v>530</v>
      </c>
      <c r="B524" s="1" t="s">
        <v>343</v>
      </c>
      <c r="C524" s="1">
        <f>INDEX(T_Performances,MATCH($A524,T_Names,0))</f>
        <v>0</v>
      </c>
      <c r="D524">
        <v>3</v>
      </c>
      <c r="E524" s="1">
        <f>INDEX(T_Avg_PPG,MATCH($A524,T_Names,0))</f>
        <v>3</v>
      </c>
      <c r="F524">
        <f>1+COUNTIFS(T_Total,"&gt;"&amp;D524,T_Pos,$B524)</f>
        <v>188</v>
      </c>
      <c r="G524">
        <f>1+COUNTIFS(T_Avg_PPG,"&gt;"&amp;E524,T_Pos,$B524)</f>
        <v>163</v>
      </c>
      <c r="H524">
        <f>_xlfn.IFNA(VLOOKUP($A524,PredictionTable,MATCH(H$1,Analysts,0),FALSE),60)</f>
        <v>60</v>
      </c>
      <c r="I524">
        <f>_xlfn.IFNA(VLOOKUP($A524,PredictionTable,MATCH(I$1,Analysts,0),FALSE),60)</f>
        <v>60</v>
      </c>
      <c r="J524">
        <f>_xlfn.IFNA(VLOOKUP($A524,PredictionTable,MATCH(J$1,Analysts,0),FALSE),60)</f>
        <v>60</v>
      </c>
      <c r="K524">
        <f>_xlfn.IFNA(VLOOKUP($A524,PredictionTable,MATCH(K$1,Analysts,0),FALSE),60)</f>
        <v>60</v>
      </c>
      <c r="L524">
        <f>_xlfn.IFNA(VLOOKUP($A524,PredictionTable,MATCH(L$1,Analysts,0),FALSE),60)</f>
        <v>60</v>
      </c>
      <c r="M524">
        <f>_xlfn.IFNA(VLOOKUP($A524,PredictionTable,MATCH(M$1,Analysts,0),FALSE),60)</f>
        <v>60</v>
      </c>
      <c r="N524">
        <f>_xlfn.IFNA(VLOOKUP($A524,PredictionTable,MATCH(N$1,Analysts,0),FALSE),60)</f>
        <v>60</v>
      </c>
      <c r="O524">
        <f>_xlfn.IFNA(VLOOKUP($A524,PredictionTable,MATCH(O$1,Analysts,0),FALSE),60)</f>
        <v>60</v>
      </c>
      <c r="P524">
        <f>_xlfn.IFNA(VLOOKUP($A524,PredictionTable,MATCH(P$1,Analysts,0),FALSE),60)</f>
        <v>60</v>
      </c>
      <c r="V524" s="7" t="s">
        <v>589</v>
      </c>
    </row>
    <row r="525" spans="1:22" x14ac:dyDescent="0.45">
      <c r="A525" s="1" t="s">
        <v>531</v>
      </c>
      <c r="B525" s="1" t="s">
        <v>343</v>
      </c>
      <c r="C525" s="1">
        <f>INDEX(T_Performances,MATCH($A525,T_Names,0))</f>
        <v>0</v>
      </c>
      <c r="D525">
        <v>3</v>
      </c>
      <c r="E525" s="1">
        <f>INDEX(T_Avg_PPG,MATCH($A525,T_Names,0))</f>
        <v>3</v>
      </c>
      <c r="F525">
        <f>1+COUNTIFS(T_Total,"&gt;"&amp;D525,T_Pos,$B525)</f>
        <v>188</v>
      </c>
      <c r="G525">
        <f>1+COUNTIFS(T_Avg_PPG,"&gt;"&amp;E525,T_Pos,$B525)</f>
        <v>163</v>
      </c>
      <c r="H525">
        <f>_xlfn.IFNA(VLOOKUP($A525,PredictionTable,MATCH(H$1,Analysts,0),FALSE),60)</f>
        <v>60</v>
      </c>
      <c r="I525">
        <f>_xlfn.IFNA(VLOOKUP($A525,PredictionTable,MATCH(I$1,Analysts,0),FALSE),60)</f>
        <v>60</v>
      </c>
      <c r="J525">
        <f>_xlfn.IFNA(VLOOKUP($A525,PredictionTable,MATCH(J$1,Analysts,0),FALSE),60)</f>
        <v>60</v>
      </c>
      <c r="K525">
        <f>_xlfn.IFNA(VLOOKUP($A525,PredictionTable,MATCH(K$1,Analysts,0),FALSE),60)</f>
        <v>60</v>
      </c>
      <c r="L525">
        <f>_xlfn.IFNA(VLOOKUP($A525,PredictionTable,MATCH(L$1,Analysts,0),FALSE),60)</f>
        <v>60</v>
      </c>
      <c r="M525">
        <f>_xlfn.IFNA(VLOOKUP($A525,PredictionTable,MATCH(M$1,Analysts,0),FALSE),60)</f>
        <v>60</v>
      </c>
      <c r="N525">
        <f>_xlfn.IFNA(VLOOKUP($A525,PredictionTable,MATCH(N$1,Analysts,0),FALSE),60)</f>
        <v>60</v>
      </c>
      <c r="O525">
        <f>_xlfn.IFNA(VLOOKUP($A525,PredictionTable,MATCH(O$1,Analysts,0),FALSE),60)</f>
        <v>60</v>
      </c>
      <c r="P525">
        <f>_xlfn.IFNA(VLOOKUP($A525,PredictionTable,MATCH(P$1,Analysts,0),FALSE),60)</f>
        <v>60</v>
      </c>
      <c r="V525" s="7" t="s">
        <v>589</v>
      </c>
    </row>
    <row r="526" spans="1:22" x14ac:dyDescent="0.45">
      <c r="A526" s="1" t="s">
        <v>532</v>
      </c>
      <c r="B526" s="1" t="s">
        <v>343</v>
      </c>
      <c r="C526" s="1">
        <f>INDEX(T_Performances,MATCH($A526,T_Names,0))</f>
        <v>0</v>
      </c>
      <c r="D526">
        <v>2.8</v>
      </c>
      <c r="E526" s="1">
        <f>INDEX(T_Avg_PPG,MATCH($A526,T_Names,0))</f>
        <v>2.8</v>
      </c>
      <c r="F526">
        <f>1+COUNTIFS(T_Total,"&gt;"&amp;D526,T_Pos,$B526)</f>
        <v>190</v>
      </c>
      <c r="G526">
        <f>1+COUNTIFS(T_Avg_PPG,"&gt;"&amp;E526,T_Pos,$B526)</f>
        <v>171</v>
      </c>
      <c r="H526">
        <f>_xlfn.IFNA(VLOOKUP($A526,PredictionTable,MATCH(H$1,Analysts,0),FALSE),60)</f>
        <v>60</v>
      </c>
      <c r="I526">
        <f>_xlfn.IFNA(VLOOKUP($A526,PredictionTable,MATCH(I$1,Analysts,0),FALSE),60)</f>
        <v>60</v>
      </c>
      <c r="J526">
        <f>_xlfn.IFNA(VLOOKUP($A526,PredictionTable,MATCH(J$1,Analysts,0),FALSE),60)</f>
        <v>60</v>
      </c>
      <c r="K526">
        <f>_xlfn.IFNA(VLOOKUP($A526,PredictionTable,MATCH(K$1,Analysts,0),FALSE),60)</f>
        <v>60</v>
      </c>
      <c r="L526">
        <f>_xlfn.IFNA(VLOOKUP($A526,PredictionTable,MATCH(L$1,Analysts,0),FALSE),60)</f>
        <v>60</v>
      </c>
      <c r="M526">
        <f>_xlfn.IFNA(VLOOKUP($A526,PredictionTable,MATCH(M$1,Analysts,0),FALSE),60)</f>
        <v>60</v>
      </c>
      <c r="N526">
        <f>_xlfn.IFNA(VLOOKUP($A526,PredictionTable,MATCH(N$1,Analysts,0),FALSE),60)</f>
        <v>60</v>
      </c>
      <c r="O526">
        <f>_xlfn.IFNA(VLOOKUP($A526,PredictionTable,MATCH(O$1,Analysts,0),FALSE),60)</f>
        <v>60</v>
      </c>
      <c r="P526">
        <f>_xlfn.IFNA(VLOOKUP($A526,PredictionTable,MATCH(P$1,Analysts,0),FALSE),60)</f>
        <v>60</v>
      </c>
      <c r="V526" s="7" t="s">
        <v>589</v>
      </c>
    </row>
    <row r="527" spans="1:22" x14ac:dyDescent="0.45">
      <c r="A527" s="1" t="s">
        <v>533</v>
      </c>
      <c r="B527" s="1" t="s">
        <v>343</v>
      </c>
      <c r="C527" s="1">
        <f>INDEX(T_Performances,MATCH($A527,T_Names,0))</f>
        <v>0</v>
      </c>
      <c r="D527">
        <v>2.7</v>
      </c>
      <c r="E527" s="1">
        <f>INDEX(T_Avg_PPG,MATCH($A527,T_Names,0))</f>
        <v>1.35</v>
      </c>
      <c r="F527">
        <f>1+COUNTIFS(T_Total,"&gt;"&amp;D527,T_Pos,$B527)</f>
        <v>191</v>
      </c>
      <c r="G527">
        <f>1+COUNTIFS(T_Avg_PPG,"&gt;"&amp;E527,T_Pos,$B527)</f>
        <v>202</v>
      </c>
      <c r="H527">
        <f>_xlfn.IFNA(VLOOKUP($A527,PredictionTable,MATCH(H$1,Analysts,0),FALSE),60)</f>
        <v>60</v>
      </c>
      <c r="I527">
        <f>_xlfn.IFNA(VLOOKUP($A527,PredictionTable,MATCH(I$1,Analysts,0),FALSE),60)</f>
        <v>60</v>
      </c>
      <c r="J527">
        <f>_xlfn.IFNA(VLOOKUP($A527,PredictionTable,MATCH(J$1,Analysts,0),FALSE),60)</f>
        <v>60</v>
      </c>
      <c r="K527">
        <f>_xlfn.IFNA(VLOOKUP($A527,PredictionTable,MATCH(K$1,Analysts,0),FALSE),60)</f>
        <v>60</v>
      </c>
      <c r="L527">
        <f>_xlfn.IFNA(VLOOKUP($A527,PredictionTable,MATCH(L$1,Analysts,0),FALSE),60)</f>
        <v>60</v>
      </c>
      <c r="M527">
        <f>_xlfn.IFNA(VLOOKUP($A527,PredictionTable,MATCH(M$1,Analysts,0),FALSE),60)</f>
        <v>60</v>
      </c>
      <c r="N527">
        <f>_xlfn.IFNA(VLOOKUP($A527,PredictionTable,MATCH(N$1,Analysts,0),FALSE),60)</f>
        <v>60</v>
      </c>
      <c r="O527">
        <f>_xlfn.IFNA(VLOOKUP($A527,PredictionTable,MATCH(O$1,Analysts,0),FALSE),60)</f>
        <v>60</v>
      </c>
      <c r="P527">
        <f>_xlfn.IFNA(VLOOKUP($A527,PredictionTable,MATCH(P$1,Analysts,0),FALSE),60)</f>
        <v>60</v>
      </c>
      <c r="V527" s="7" t="s">
        <v>589</v>
      </c>
    </row>
    <row r="528" spans="1:22" x14ac:dyDescent="0.45">
      <c r="A528" s="1" t="s">
        <v>534</v>
      </c>
      <c r="B528" s="1" t="s">
        <v>343</v>
      </c>
      <c r="C528" s="1">
        <f>INDEX(T_Performances,MATCH($A528,T_Names,0))</f>
        <v>0</v>
      </c>
      <c r="D528">
        <v>2.2000000000000002</v>
      </c>
      <c r="E528" s="1">
        <f>INDEX(T_Avg_PPG,MATCH($A528,T_Names,0))</f>
        <v>2.2000000000000002</v>
      </c>
      <c r="F528">
        <f>1+COUNTIFS(T_Total,"&gt;"&amp;D528,T_Pos,$B528)</f>
        <v>192</v>
      </c>
      <c r="G528">
        <f>1+COUNTIFS(T_Avg_PPG,"&gt;"&amp;E528,T_Pos,$B528)</f>
        <v>183</v>
      </c>
      <c r="H528">
        <f>_xlfn.IFNA(VLOOKUP($A528,PredictionTable,MATCH(H$1,Analysts,0),FALSE),60)</f>
        <v>60</v>
      </c>
      <c r="I528">
        <f>_xlfn.IFNA(VLOOKUP($A528,PredictionTable,MATCH(I$1,Analysts,0),FALSE),60)</f>
        <v>60</v>
      </c>
      <c r="J528">
        <f>_xlfn.IFNA(VLOOKUP($A528,PredictionTable,MATCH(J$1,Analysts,0),FALSE),60)</f>
        <v>60</v>
      </c>
      <c r="K528">
        <f>_xlfn.IFNA(VLOOKUP($A528,PredictionTable,MATCH(K$1,Analysts,0),FALSE),60)</f>
        <v>60</v>
      </c>
      <c r="L528">
        <f>_xlfn.IFNA(VLOOKUP($A528,PredictionTable,MATCH(L$1,Analysts,0),FALSE),60)</f>
        <v>60</v>
      </c>
      <c r="M528">
        <f>_xlfn.IFNA(VLOOKUP($A528,PredictionTable,MATCH(M$1,Analysts,0),FALSE),60)</f>
        <v>60</v>
      </c>
      <c r="N528">
        <f>_xlfn.IFNA(VLOOKUP($A528,PredictionTable,MATCH(N$1,Analysts,0),FALSE),60)</f>
        <v>60</v>
      </c>
      <c r="O528">
        <f>_xlfn.IFNA(VLOOKUP($A528,PredictionTable,MATCH(O$1,Analysts,0),FALSE),60)</f>
        <v>60</v>
      </c>
      <c r="P528">
        <f>_xlfn.IFNA(VLOOKUP($A528,PredictionTable,MATCH(P$1,Analysts,0),FALSE),60)</f>
        <v>60</v>
      </c>
      <c r="V528" s="7" t="s">
        <v>589</v>
      </c>
    </row>
    <row r="529" spans="1:22" x14ac:dyDescent="0.45">
      <c r="A529" s="1" t="s">
        <v>535</v>
      </c>
      <c r="B529" s="1" t="s">
        <v>343</v>
      </c>
      <c r="C529" s="1">
        <f>INDEX(T_Performances,MATCH($A529,T_Names,0))</f>
        <v>0</v>
      </c>
      <c r="D529">
        <v>2.2000000000000002</v>
      </c>
      <c r="E529" s="1">
        <f>INDEX(T_Avg_PPG,MATCH($A529,T_Names,0))</f>
        <v>2.2000000000000002</v>
      </c>
      <c r="F529">
        <f>1+COUNTIFS(T_Total,"&gt;"&amp;D529,T_Pos,$B529)</f>
        <v>192</v>
      </c>
      <c r="G529">
        <f>1+COUNTIFS(T_Avg_PPG,"&gt;"&amp;E529,T_Pos,$B529)</f>
        <v>183</v>
      </c>
      <c r="H529">
        <f>_xlfn.IFNA(VLOOKUP($A529,PredictionTable,MATCH(H$1,Analysts,0),FALSE),60)</f>
        <v>60</v>
      </c>
      <c r="I529">
        <f>_xlfn.IFNA(VLOOKUP($A529,PredictionTable,MATCH(I$1,Analysts,0),FALSE),60)</f>
        <v>60</v>
      </c>
      <c r="J529">
        <f>_xlfn.IFNA(VLOOKUP($A529,PredictionTable,MATCH(J$1,Analysts,0),FALSE),60)</f>
        <v>60</v>
      </c>
      <c r="K529">
        <f>_xlfn.IFNA(VLOOKUP($A529,PredictionTable,MATCH(K$1,Analysts,0),FALSE),60)</f>
        <v>60</v>
      </c>
      <c r="L529">
        <f>_xlfn.IFNA(VLOOKUP($A529,PredictionTable,MATCH(L$1,Analysts,0),FALSE),60)</f>
        <v>60</v>
      </c>
      <c r="M529">
        <f>_xlfn.IFNA(VLOOKUP($A529,PredictionTable,MATCH(M$1,Analysts,0),FALSE),60)</f>
        <v>60</v>
      </c>
      <c r="N529">
        <f>_xlfn.IFNA(VLOOKUP($A529,PredictionTable,MATCH(N$1,Analysts,0),FALSE),60)</f>
        <v>60</v>
      </c>
      <c r="O529">
        <f>_xlfn.IFNA(VLOOKUP($A529,PredictionTable,MATCH(O$1,Analysts,0),FALSE),60)</f>
        <v>60</v>
      </c>
      <c r="P529">
        <f>_xlfn.IFNA(VLOOKUP($A529,PredictionTable,MATCH(P$1,Analysts,0),FALSE),60)</f>
        <v>60</v>
      </c>
      <c r="V529" s="7" t="s">
        <v>589</v>
      </c>
    </row>
    <row r="530" spans="1:22" x14ac:dyDescent="0.45">
      <c r="A530" s="1" t="s">
        <v>536</v>
      </c>
      <c r="B530" s="1" t="s">
        <v>343</v>
      </c>
      <c r="C530" s="1">
        <f>INDEX(T_Performances,MATCH($A530,T_Names,0))</f>
        <v>0</v>
      </c>
      <c r="D530">
        <v>2.2000000000000002</v>
      </c>
      <c r="E530" s="1">
        <f>INDEX(T_Avg_PPG,MATCH($A530,T_Names,0))</f>
        <v>0.73333333333333339</v>
      </c>
      <c r="F530">
        <f>1+COUNTIFS(T_Total,"&gt;"&amp;D530,T_Pos,$B530)</f>
        <v>192</v>
      </c>
      <c r="G530">
        <f>1+COUNTIFS(T_Avg_PPG,"&gt;"&amp;E530,T_Pos,$B530)</f>
        <v>211</v>
      </c>
      <c r="H530">
        <f>_xlfn.IFNA(VLOOKUP($A530,PredictionTable,MATCH(H$1,Analysts,0),FALSE),60)</f>
        <v>60</v>
      </c>
      <c r="I530">
        <f>_xlfn.IFNA(VLOOKUP($A530,PredictionTable,MATCH(I$1,Analysts,0),FALSE),60)</f>
        <v>60</v>
      </c>
      <c r="J530">
        <f>_xlfn.IFNA(VLOOKUP($A530,PredictionTable,MATCH(J$1,Analysts,0),FALSE),60)</f>
        <v>60</v>
      </c>
      <c r="K530">
        <f>_xlfn.IFNA(VLOOKUP($A530,PredictionTable,MATCH(K$1,Analysts,0),FALSE),60)</f>
        <v>60</v>
      </c>
      <c r="L530">
        <f>_xlfn.IFNA(VLOOKUP($A530,PredictionTable,MATCH(L$1,Analysts,0),FALSE),60)</f>
        <v>60</v>
      </c>
      <c r="M530">
        <f>_xlfn.IFNA(VLOOKUP($A530,PredictionTable,MATCH(M$1,Analysts,0),FALSE),60)</f>
        <v>60</v>
      </c>
      <c r="N530">
        <f>_xlfn.IFNA(VLOOKUP($A530,PredictionTable,MATCH(N$1,Analysts,0),FALSE),60)</f>
        <v>60</v>
      </c>
      <c r="O530">
        <f>_xlfn.IFNA(VLOOKUP($A530,PredictionTable,MATCH(O$1,Analysts,0),FALSE),60)</f>
        <v>60</v>
      </c>
      <c r="P530">
        <f>_xlfn.IFNA(VLOOKUP($A530,PredictionTable,MATCH(P$1,Analysts,0),FALSE),60)</f>
        <v>60</v>
      </c>
      <c r="V530" s="7" t="s">
        <v>589</v>
      </c>
    </row>
    <row r="531" spans="1:22" x14ac:dyDescent="0.45">
      <c r="A531" s="1" t="s">
        <v>537</v>
      </c>
      <c r="B531" s="1" t="s">
        <v>343</v>
      </c>
      <c r="C531" s="1">
        <f>INDEX(T_Performances,MATCH($A531,T_Names,0))</f>
        <v>0</v>
      </c>
      <c r="D531">
        <v>2.1</v>
      </c>
      <c r="E531" s="1">
        <f>INDEX(T_Avg_PPG,MATCH($A531,T_Names,0))</f>
        <v>2.1</v>
      </c>
      <c r="F531">
        <f>1+COUNTIFS(T_Total,"&gt;"&amp;D531,T_Pos,$B531)</f>
        <v>195</v>
      </c>
      <c r="G531">
        <f>1+COUNTIFS(T_Avg_PPG,"&gt;"&amp;E531,T_Pos,$B531)</f>
        <v>185</v>
      </c>
      <c r="H531">
        <f>_xlfn.IFNA(VLOOKUP($A531,PredictionTable,MATCH(H$1,Analysts,0),FALSE),60)</f>
        <v>60</v>
      </c>
      <c r="I531">
        <f>_xlfn.IFNA(VLOOKUP($A531,PredictionTable,MATCH(I$1,Analysts,0),FALSE),60)</f>
        <v>60</v>
      </c>
      <c r="J531">
        <f>_xlfn.IFNA(VLOOKUP($A531,PredictionTable,MATCH(J$1,Analysts,0),FALSE),60)</f>
        <v>60</v>
      </c>
      <c r="K531">
        <f>_xlfn.IFNA(VLOOKUP($A531,PredictionTable,MATCH(K$1,Analysts,0),FALSE),60)</f>
        <v>60</v>
      </c>
      <c r="L531">
        <f>_xlfn.IFNA(VLOOKUP($A531,PredictionTable,MATCH(L$1,Analysts,0),FALSE),60)</f>
        <v>60</v>
      </c>
      <c r="M531">
        <f>_xlfn.IFNA(VLOOKUP($A531,PredictionTable,MATCH(M$1,Analysts,0),FALSE),60)</f>
        <v>60</v>
      </c>
      <c r="N531">
        <f>_xlfn.IFNA(VLOOKUP($A531,PredictionTable,MATCH(N$1,Analysts,0),FALSE),60)</f>
        <v>60</v>
      </c>
      <c r="O531">
        <f>_xlfn.IFNA(VLOOKUP($A531,PredictionTable,MATCH(O$1,Analysts,0),FALSE),60)</f>
        <v>60</v>
      </c>
      <c r="P531">
        <f>_xlfn.IFNA(VLOOKUP($A531,PredictionTable,MATCH(P$1,Analysts,0),FALSE),60)</f>
        <v>60</v>
      </c>
      <c r="V531" s="7" t="s">
        <v>589</v>
      </c>
    </row>
    <row r="532" spans="1:22" x14ac:dyDescent="0.45">
      <c r="A532" s="1" t="s">
        <v>538</v>
      </c>
      <c r="B532" s="1" t="s">
        <v>343</v>
      </c>
      <c r="C532" s="1">
        <f>INDEX(T_Performances,MATCH($A532,T_Names,0))</f>
        <v>0</v>
      </c>
      <c r="D532">
        <v>2.1</v>
      </c>
      <c r="E532" s="1">
        <f>INDEX(T_Avg_PPG,MATCH($A532,T_Names,0))</f>
        <v>2.1</v>
      </c>
      <c r="F532">
        <f>1+COUNTIFS(T_Total,"&gt;"&amp;D532,T_Pos,$B532)</f>
        <v>195</v>
      </c>
      <c r="G532">
        <f>1+COUNTIFS(T_Avg_PPG,"&gt;"&amp;E532,T_Pos,$B532)</f>
        <v>185</v>
      </c>
      <c r="H532">
        <f>_xlfn.IFNA(VLOOKUP($A532,PredictionTable,MATCH(H$1,Analysts,0),FALSE),60)</f>
        <v>60</v>
      </c>
      <c r="I532">
        <f>_xlfn.IFNA(VLOOKUP($A532,PredictionTable,MATCH(I$1,Analysts,0),FALSE),60)</f>
        <v>60</v>
      </c>
      <c r="J532">
        <f>_xlfn.IFNA(VLOOKUP($A532,PredictionTable,MATCH(J$1,Analysts,0),FALSE),60)</f>
        <v>60</v>
      </c>
      <c r="K532">
        <f>_xlfn.IFNA(VLOOKUP($A532,PredictionTable,MATCH(K$1,Analysts,0),FALSE),60)</f>
        <v>60</v>
      </c>
      <c r="L532">
        <f>_xlfn.IFNA(VLOOKUP($A532,PredictionTable,MATCH(L$1,Analysts,0),FALSE),60)</f>
        <v>60</v>
      </c>
      <c r="M532">
        <f>_xlfn.IFNA(VLOOKUP($A532,PredictionTable,MATCH(M$1,Analysts,0),FALSE),60)</f>
        <v>60</v>
      </c>
      <c r="N532">
        <f>_xlfn.IFNA(VLOOKUP($A532,PredictionTable,MATCH(N$1,Analysts,0),FALSE),60)</f>
        <v>60</v>
      </c>
      <c r="O532">
        <f>_xlfn.IFNA(VLOOKUP($A532,PredictionTable,MATCH(O$1,Analysts,0),FALSE),60)</f>
        <v>60</v>
      </c>
      <c r="P532">
        <f>_xlfn.IFNA(VLOOKUP($A532,PredictionTable,MATCH(P$1,Analysts,0),FALSE),60)</f>
        <v>60</v>
      </c>
      <c r="V532" s="7" t="s">
        <v>589</v>
      </c>
    </row>
    <row r="533" spans="1:22" x14ac:dyDescent="0.45">
      <c r="A533" s="1" t="s">
        <v>539</v>
      </c>
      <c r="B533" s="1" t="s">
        <v>343</v>
      </c>
      <c r="C533" s="1">
        <f>INDEX(T_Performances,MATCH($A533,T_Names,0))</f>
        <v>0</v>
      </c>
      <c r="D533">
        <v>1.9</v>
      </c>
      <c r="E533" s="1">
        <f>INDEX(T_Avg_PPG,MATCH($A533,T_Names,0))</f>
        <v>1.9</v>
      </c>
      <c r="F533">
        <f>1+COUNTIFS(T_Total,"&gt;"&amp;D533,T_Pos,$B533)</f>
        <v>197</v>
      </c>
      <c r="G533">
        <f>1+COUNTIFS(T_Avg_PPG,"&gt;"&amp;E533,T_Pos,$B533)</f>
        <v>188</v>
      </c>
      <c r="H533">
        <f>_xlfn.IFNA(VLOOKUP($A533,PredictionTable,MATCH(H$1,Analysts,0),FALSE),60)</f>
        <v>60</v>
      </c>
      <c r="I533">
        <f>_xlfn.IFNA(VLOOKUP($A533,PredictionTable,MATCH(I$1,Analysts,0),FALSE),60)</f>
        <v>60</v>
      </c>
      <c r="J533">
        <f>_xlfn.IFNA(VLOOKUP($A533,PredictionTable,MATCH(J$1,Analysts,0),FALSE),60)</f>
        <v>60</v>
      </c>
      <c r="K533">
        <f>_xlfn.IFNA(VLOOKUP($A533,PredictionTable,MATCH(K$1,Analysts,0),FALSE),60)</f>
        <v>60</v>
      </c>
      <c r="L533">
        <f>_xlfn.IFNA(VLOOKUP($A533,PredictionTable,MATCH(L$1,Analysts,0),FALSE),60)</f>
        <v>60</v>
      </c>
      <c r="M533">
        <f>_xlfn.IFNA(VLOOKUP($A533,PredictionTable,MATCH(M$1,Analysts,0),FALSE),60)</f>
        <v>60</v>
      </c>
      <c r="N533">
        <f>_xlfn.IFNA(VLOOKUP($A533,PredictionTable,MATCH(N$1,Analysts,0),FALSE),60)</f>
        <v>60</v>
      </c>
      <c r="O533">
        <f>_xlfn.IFNA(VLOOKUP($A533,PredictionTable,MATCH(O$1,Analysts,0),FALSE),60)</f>
        <v>60</v>
      </c>
      <c r="P533">
        <f>_xlfn.IFNA(VLOOKUP($A533,PredictionTable,MATCH(P$1,Analysts,0),FALSE),60)</f>
        <v>60</v>
      </c>
      <c r="V533" s="7" t="s">
        <v>589</v>
      </c>
    </row>
    <row r="534" spans="1:22" x14ac:dyDescent="0.45">
      <c r="A534" s="1" t="s">
        <v>540</v>
      </c>
      <c r="B534" s="1" t="s">
        <v>343</v>
      </c>
      <c r="C534" s="1">
        <f>INDEX(T_Performances,MATCH($A534,T_Names,0))</f>
        <v>0</v>
      </c>
      <c r="D534">
        <v>1.7</v>
      </c>
      <c r="E534" s="1">
        <f>INDEX(T_Avg_PPG,MATCH($A534,T_Names,0))</f>
        <v>1.7</v>
      </c>
      <c r="F534">
        <f>1+COUNTIFS(T_Total,"&gt;"&amp;D534,T_Pos,$B534)</f>
        <v>198</v>
      </c>
      <c r="G534">
        <f>1+COUNTIFS(T_Avg_PPG,"&gt;"&amp;E534,T_Pos,$B534)</f>
        <v>195</v>
      </c>
      <c r="H534">
        <f>_xlfn.IFNA(VLOOKUP($A534,PredictionTable,MATCH(H$1,Analysts,0),FALSE),60)</f>
        <v>60</v>
      </c>
      <c r="I534">
        <f>_xlfn.IFNA(VLOOKUP($A534,PredictionTable,MATCH(I$1,Analysts,0),FALSE),60)</f>
        <v>60</v>
      </c>
      <c r="J534">
        <f>_xlfn.IFNA(VLOOKUP($A534,PredictionTable,MATCH(J$1,Analysts,0),FALSE),60)</f>
        <v>60</v>
      </c>
      <c r="K534">
        <f>_xlfn.IFNA(VLOOKUP($A534,PredictionTable,MATCH(K$1,Analysts,0),FALSE),60)</f>
        <v>60</v>
      </c>
      <c r="L534">
        <f>_xlfn.IFNA(VLOOKUP($A534,PredictionTable,MATCH(L$1,Analysts,0),FALSE),60)</f>
        <v>60</v>
      </c>
      <c r="M534">
        <f>_xlfn.IFNA(VLOOKUP($A534,PredictionTable,MATCH(M$1,Analysts,0),FALSE),60)</f>
        <v>60</v>
      </c>
      <c r="N534">
        <f>_xlfn.IFNA(VLOOKUP($A534,PredictionTable,MATCH(N$1,Analysts,0),FALSE),60)</f>
        <v>60</v>
      </c>
      <c r="O534">
        <f>_xlfn.IFNA(VLOOKUP($A534,PredictionTable,MATCH(O$1,Analysts,0),FALSE),60)</f>
        <v>60</v>
      </c>
      <c r="P534">
        <f>_xlfn.IFNA(VLOOKUP($A534,PredictionTable,MATCH(P$1,Analysts,0),FALSE),60)</f>
        <v>60</v>
      </c>
      <c r="V534" s="7" t="s">
        <v>589</v>
      </c>
    </row>
    <row r="535" spans="1:22" x14ac:dyDescent="0.45">
      <c r="A535" s="1" t="s">
        <v>541</v>
      </c>
      <c r="B535" s="1" t="s">
        <v>343</v>
      </c>
      <c r="C535" s="1">
        <f>INDEX(T_Performances,MATCH($A535,T_Names,0))</f>
        <v>0</v>
      </c>
      <c r="D535">
        <v>1.6</v>
      </c>
      <c r="E535" s="1">
        <f>INDEX(T_Avg_PPG,MATCH($A535,T_Names,0))</f>
        <v>1.6</v>
      </c>
      <c r="F535">
        <f>1+COUNTIFS(T_Total,"&gt;"&amp;D535,T_Pos,$B535)</f>
        <v>199</v>
      </c>
      <c r="G535">
        <f>1+COUNTIFS(T_Avg_PPG,"&gt;"&amp;E535,T_Pos,$B535)</f>
        <v>196</v>
      </c>
      <c r="H535">
        <f>_xlfn.IFNA(VLOOKUP($A535,PredictionTable,MATCH(H$1,Analysts,0),FALSE),60)</f>
        <v>60</v>
      </c>
      <c r="I535">
        <f>_xlfn.IFNA(VLOOKUP($A535,PredictionTable,MATCH(I$1,Analysts,0),FALSE),60)</f>
        <v>60</v>
      </c>
      <c r="J535">
        <f>_xlfn.IFNA(VLOOKUP($A535,PredictionTable,MATCH(J$1,Analysts,0),FALSE),60)</f>
        <v>60</v>
      </c>
      <c r="K535">
        <f>_xlfn.IFNA(VLOOKUP($A535,PredictionTable,MATCH(K$1,Analysts,0),FALSE),60)</f>
        <v>60</v>
      </c>
      <c r="L535">
        <f>_xlfn.IFNA(VLOOKUP($A535,PredictionTable,MATCH(L$1,Analysts,0),FALSE),60)</f>
        <v>60</v>
      </c>
      <c r="M535">
        <f>_xlfn.IFNA(VLOOKUP($A535,PredictionTable,MATCH(M$1,Analysts,0),FALSE),60)</f>
        <v>60</v>
      </c>
      <c r="N535">
        <f>_xlfn.IFNA(VLOOKUP($A535,PredictionTable,MATCH(N$1,Analysts,0),FALSE),60)</f>
        <v>60</v>
      </c>
      <c r="O535">
        <f>_xlfn.IFNA(VLOOKUP($A535,PredictionTable,MATCH(O$1,Analysts,0),FALSE),60)</f>
        <v>60</v>
      </c>
      <c r="P535">
        <f>_xlfn.IFNA(VLOOKUP($A535,PredictionTable,MATCH(P$1,Analysts,0),FALSE),60)</f>
        <v>60</v>
      </c>
      <c r="V535" s="7" t="s">
        <v>589</v>
      </c>
    </row>
    <row r="536" spans="1:22" x14ac:dyDescent="0.45">
      <c r="A536" s="1" t="s">
        <v>542</v>
      </c>
      <c r="B536" s="1" t="s">
        <v>343</v>
      </c>
      <c r="C536" s="1">
        <f>INDEX(T_Performances,MATCH($A536,T_Names,0))</f>
        <v>0</v>
      </c>
      <c r="D536">
        <v>1.6</v>
      </c>
      <c r="E536" s="1">
        <f>INDEX(T_Avg_PPG,MATCH($A536,T_Names,0))</f>
        <v>1.6</v>
      </c>
      <c r="F536">
        <f>1+COUNTIFS(T_Total,"&gt;"&amp;D536,T_Pos,$B536)</f>
        <v>199</v>
      </c>
      <c r="G536">
        <f>1+COUNTIFS(T_Avg_PPG,"&gt;"&amp;E536,T_Pos,$B536)</f>
        <v>196</v>
      </c>
      <c r="H536">
        <f>_xlfn.IFNA(VLOOKUP($A536,PredictionTable,MATCH(H$1,Analysts,0),FALSE),60)</f>
        <v>60</v>
      </c>
      <c r="I536">
        <f>_xlfn.IFNA(VLOOKUP($A536,PredictionTable,MATCH(I$1,Analysts,0),FALSE),60)</f>
        <v>60</v>
      </c>
      <c r="J536">
        <f>_xlfn.IFNA(VLOOKUP($A536,PredictionTable,MATCH(J$1,Analysts,0),FALSE),60)</f>
        <v>60</v>
      </c>
      <c r="K536">
        <f>_xlfn.IFNA(VLOOKUP($A536,PredictionTable,MATCH(K$1,Analysts,0),FALSE),60)</f>
        <v>60</v>
      </c>
      <c r="L536">
        <f>_xlfn.IFNA(VLOOKUP($A536,PredictionTable,MATCH(L$1,Analysts,0),FALSE),60)</f>
        <v>60</v>
      </c>
      <c r="M536">
        <f>_xlfn.IFNA(VLOOKUP($A536,PredictionTable,MATCH(M$1,Analysts,0),FALSE),60)</f>
        <v>60</v>
      </c>
      <c r="N536">
        <f>_xlfn.IFNA(VLOOKUP($A536,PredictionTable,MATCH(N$1,Analysts,0),FALSE),60)</f>
        <v>60</v>
      </c>
      <c r="O536">
        <f>_xlfn.IFNA(VLOOKUP($A536,PredictionTable,MATCH(O$1,Analysts,0),FALSE),60)</f>
        <v>60</v>
      </c>
      <c r="P536">
        <f>_xlfn.IFNA(VLOOKUP($A536,PredictionTable,MATCH(P$1,Analysts,0),FALSE),60)</f>
        <v>60</v>
      </c>
      <c r="V536" s="7" t="s">
        <v>589</v>
      </c>
    </row>
    <row r="537" spans="1:22" x14ac:dyDescent="0.45">
      <c r="A537" s="1" t="s">
        <v>543</v>
      </c>
      <c r="B537" s="1" t="s">
        <v>343</v>
      </c>
      <c r="C537" s="1">
        <f>INDEX(T_Performances,MATCH($A537,T_Names,0))</f>
        <v>0</v>
      </c>
      <c r="D537">
        <v>1.6</v>
      </c>
      <c r="E537" s="1">
        <f>INDEX(T_Avg_PPG,MATCH($A537,T_Names,0))</f>
        <v>1.6</v>
      </c>
      <c r="F537">
        <f>1+COUNTIFS(T_Total,"&gt;"&amp;D537,T_Pos,$B537)</f>
        <v>199</v>
      </c>
      <c r="G537">
        <f>1+COUNTIFS(T_Avg_PPG,"&gt;"&amp;E537,T_Pos,$B537)</f>
        <v>196</v>
      </c>
      <c r="H537">
        <f>_xlfn.IFNA(VLOOKUP($A537,PredictionTable,MATCH(H$1,Analysts,0),FALSE),60)</f>
        <v>60</v>
      </c>
      <c r="I537">
        <f>_xlfn.IFNA(VLOOKUP($A537,PredictionTable,MATCH(I$1,Analysts,0),FALSE),60)</f>
        <v>60</v>
      </c>
      <c r="J537">
        <f>_xlfn.IFNA(VLOOKUP($A537,PredictionTable,MATCH(J$1,Analysts,0),FALSE),60)</f>
        <v>60</v>
      </c>
      <c r="K537">
        <f>_xlfn.IFNA(VLOOKUP($A537,PredictionTable,MATCH(K$1,Analysts,0),FALSE),60)</f>
        <v>60</v>
      </c>
      <c r="L537">
        <f>_xlfn.IFNA(VLOOKUP($A537,PredictionTable,MATCH(L$1,Analysts,0),FALSE),60)</f>
        <v>60</v>
      </c>
      <c r="M537">
        <f>_xlfn.IFNA(VLOOKUP($A537,PredictionTable,MATCH(M$1,Analysts,0),FALSE),60)</f>
        <v>60</v>
      </c>
      <c r="N537">
        <f>_xlfn.IFNA(VLOOKUP($A537,PredictionTable,MATCH(N$1,Analysts,0),FALSE),60)</f>
        <v>60</v>
      </c>
      <c r="O537">
        <f>_xlfn.IFNA(VLOOKUP($A537,PredictionTable,MATCH(O$1,Analysts,0),FALSE),60)</f>
        <v>60</v>
      </c>
      <c r="P537">
        <f>_xlfn.IFNA(VLOOKUP($A537,PredictionTable,MATCH(P$1,Analysts,0),FALSE),60)</f>
        <v>60</v>
      </c>
      <c r="V537" s="7" t="s">
        <v>589</v>
      </c>
    </row>
    <row r="538" spans="1:22" x14ac:dyDescent="0.45">
      <c r="A538" s="1" t="s">
        <v>544</v>
      </c>
      <c r="B538" s="1" t="s">
        <v>343</v>
      </c>
      <c r="C538" s="1">
        <f>INDEX(T_Performances,MATCH($A538,T_Names,0))</f>
        <v>0</v>
      </c>
      <c r="D538">
        <v>1.4</v>
      </c>
      <c r="E538" s="1">
        <f>INDEX(T_Avg_PPG,MATCH($A538,T_Names,0))</f>
        <v>1.4</v>
      </c>
      <c r="F538">
        <f>1+COUNTIFS(T_Total,"&gt;"&amp;D538,T_Pos,$B538)</f>
        <v>202</v>
      </c>
      <c r="G538">
        <f>1+COUNTIFS(T_Avg_PPG,"&gt;"&amp;E538,T_Pos,$B538)</f>
        <v>200</v>
      </c>
      <c r="H538">
        <f>_xlfn.IFNA(VLOOKUP($A538,PredictionTable,MATCH(H$1,Analysts,0),FALSE),60)</f>
        <v>60</v>
      </c>
      <c r="I538">
        <f>_xlfn.IFNA(VLOOKUP($A538,PredictionTable,MATCH(I$1,Analysts,0),FALSE),60)</f>
        <v>60</v>
      </c>
      <c r="J538">
        <f>_xlfn.IFNA(VLOOKUP($A538,PredictionTable,MATCH(J$1,Analysts,0),FALSE),60)</f>
        <v>60</v>
      </c>
      <c r="K538">
        <f>_xlfn.IFNA(VLOOKUP($A538,PredictionTable,MATCH(K$1,Analysts,0),FALSE),60)</f>
        <v>60</v>
      </c>
      <c r="L538">
        <f>_xlfn.IFNA(VLOOKUP($A538,PredictionTable,MATCH(L$1,Analysts,0),FALSE),60)</f>
        <v>60</v>
      </c>
      <c r="M538">
        <f>_xlfn.IFNA(VLOOKUP($A538,PredictionTable,MATCH(M$1,Analysts,0),FALSE),60)</f>
        <v>60</v>
      </c>
      <c r="N538">
        <f>_xlfn.IFNA(VLOOKUP($A538,PredictionTable,MATCH(N$1,Analysts,0),FALSE),60)</f>
        <v>60</v>
      </c>
      <c r="O538">
        <f>_xlfn.IFNA(VLOOKUP($A538,PredictionTable,MATCH(O$1,Analysts,0),FALSE),60)</f>
        <v>60</v>
      </c>
      <c r="P538">
        <f>_xlfn.IFNA(VLOOKUP($A538,PredictionTable,MATCH(P$1,Analysts,0),FALSE),60)</f>
        <v>60</v>
      </c>
      <c r="V538" s="7" t="s">
        <v>589</v>
      </c>
    </row>
    <row r="539" spans="1:22" x14ac:dyDescent="0.45">
      <c r="A539" s="1" t="s">
        <v>545</v>
      </c>
      <c r="B539" s="1" t="s">
        <v>343</v>
      </c>
      <c r="C539" s="1">
        <f>INDEX(T_Performances,MATCH($A539,T_Names,0))</f>
        <v>0</v>
      </c>
      <c r="D539">
        <v>1.4</v>
      </c>
      <c r="E539" s="1">
        <f>INDEX(T_Avg_PPG,MATCH($A539,T_Names,0))</f>
        <v>1.4</v>
      </c>
      <c r="F539">
        <f>1+COUNTIFS(T_Total,"&gt;"&amp;D539,T_Pos,$B539)</f>
        <v>202</v>
      </c>
      <c r="G539">
        <f>1+COUNTIFS(T_Avg_PPG,"&gt;"&amp;E539,T_Pos,$B539)</f>
        <v>200</v>
      </c>
      <c r="H539">
        <f>_xlfn.IFNA(VLOOKUP($A539,PredictionTable,MATCH(H$1,Analysts,0),FALSE),60)</f>
        <v>60</v>
      </c>
      <c r="I539">
        <f>_xlfn.IFNA(VLOOKUP($A539,PredictionTable,MATCH(I$1,Analysts,0),FALSE),60)</f>
        <v>60</v>
      </c>
      <c r="J539">
        <f>_xlfn.IFNA(VLOOKUP($A539,PredictionTable,MATCH(J$1,Analysts,0),FALSE),60)</f>
        <v>60</v>
      </c>
      <c r="K539">
        <f>_xlfn.IFNA(VLOOKUP($A539,PredictionTable,MATCH(K$1,Analysts,0),FALSE),60)</f>
        <v>60</v>
      </c>
      <c r="L539">
        <f>_xlfn.IFNA(VLOOKUP($A539,PredictionTable,MATCH(L$1,Analysts,0),FALSE),60)</f>
        <v>60</v>
      </c>
      <c r="M539">
        <f>_xlfn.IFNA(VLOOKUP($A539,PredictionTable,MATCH(M$1,Analysts,0),FALSE),60)</f>
        <v>60</v>
      </c>
      <c r="N539">
        <f>_xlfn.IFNA(VLOOKUP($A539,PredictionTable,MATCH(N$1,Analysts,0),FALSE),60)</f>
        <v>60</v>
      </c>
      <c r="O539">
        <f>_xlfn.IFNA(VLOOKUP($A539,PredictionTable,MATCH(O$1,Analysts,0),FALSE),60)</f>
        <v>60</v>
      </c>
      <c r="P539">
        <f>_xlfn.IFNA(VLOOKUP($A539,PredictionTable,MATCH(P$1,Analysts,0),FALSE),60)</f>
        <v>60</v>
      </c>
      <c r="V539" s="7" t="s">
        <v>589</v>
      </c>
    </row>
    <row r="540" spans="1:22" x14ac:dyDescent="0.45">
      <c r="A540" s="1" t="s">
        <v>546</v>
      </c>
      <c r="B540" s="1" t="s">
        <v>343</v>
      </c>
      <c r="C540" s="1">
        <f>INDEX(T_Performances,MATCH($A540,T_Names,0))</f>
        <v>0</v>
      </c>
      <c r="D540">
        <v>1.2</v>
      </c>
      <c r="E540" s="1">
        <f>INDEX(T_Avg_PPG,MATCH($A540,T_Names,0))</f>
        <v>1.2</v>
      </c>
      <c r="F540">
        <f>1+COUNTIFS(T_Total,"&gt;"&amp;D540,T_Pos,$B540)</f>
        <v>204</v>
      </c>
      <c r="G540">
        <f>1+COUNTIFS(T_Avg_PPG,"&gt;"&amp;E540,T_Pos,$B540)</f>
        <v>203</v>
      </c>
      <c r="H540">
        <f>_xlfn.IFNA(VLOOKUP($A540,PredictionTable,MATCH(H$1,Analysts,0),FALSE),60)</f>
        <v>60</v>
      </c>
      <c r="I540">
        <f>_xlfn.IFNA(VLOOKUP($A540,PredictionTable,MATCH(I$1,Analysts,0),FALSE),60)</f>
        <v>60</v>
      </c>
      <c r="J540">
        <f>_xlfn.IFNA(VLOOKUP($A540,PredictionTable,MATCH(J$1,Analysts,0),FALSE),60)</f>
        <v>60</v>
      </c>
      <c r="K540">
        <f>_xlfn.IFNA(VLOOKUP($A540,PredictionTable,MATCH(K$1,Analysts,0),FALSE),60)</f>
        <v>60</v>
      </c>
      <c r="L540">
        <f>_xlfn.IFNA(VLOOKUP($A540,PredictionTable,MATCH(L$1,Analysts,0),FALSE),60)</f>
        <v>60</v>
      </c>
      <c r="M540">
        <f>_xlfn.IFNA(VLOOKUP($A540,PredictionTable,MATCH(M$1,Analysts,0),FALSE),60)</f>
        <v>60</v>
      </c>
      <c r="N540">
        <f>_xlfn.IFNA(VLOOKUP($A540,PredictionTable,MATCH(N$1,Analysts,0),FALSE),60)</f>
        <v>60</v>
      </c>
      <c r="O540">
        <f>_xlfn.IFNA(VLOOKUP($A540,PredictionTable,MATCH(O$1,Analysts,0),FALSE),60)</f>
        <v>60</v>
      </c>
      <c r="P540">
        <f>_xlfn.IFNA(VLOOKUP($A540,PredictionTable,MATCH(P$1,Analysts,0),FALSE),60)</f>
        <v>60</v>
      </c>
      <c r="V540" s="7" t="s">
        <v>589</v>
      </c>
    </row>
    <row r="541" spans="1:22" x14ac:dyDescent="0.45">
      <c r="A541" s="1" t="s">
        <v>547</v>
      </c>
      <c r="B541" s="1" t="s">
        <v>343</v>
      </c>
      <c r="C541" s="1">
        <f>INDEX(T_Performances,MATCH($A541,T_Names,0))</f>
        <v>0</v>
      </c>
      <c r="D541">
        <v>1.1000000000000001</v>
      </c>
      <c r="E541" s="1">
        <f>INDEX(T_Avg_PPG,MATCH($A541,T_Names,0))</f>
        <v>1.1000000000000001</v>
      </c>
      <c r="F541">
        <f>1+COUNTIFS(T_Total,"&gt;"&amp;D541,T_Pos,$B541)</f>
        <v>205</v>
      </c>
      <c r="G541">
        <f>1+COUNTIFS(T_Avg_PPG,"&gt;"&amp;E541,T_Pos,$B541)</f>
        <v>204</v>
      </c>
      <c r="H541">
        <f>_xlfn.IFNA(VLOOKUP($A541,PredictionTable,MATCH(H$1,Analysts,0),FALSE),60)</f>
        <v>60</v>
      </c>
      <c r="I541">
        <f>_xlfn.IFNA(VLOOKUP($A541,PredictionTable,MATCH(I$1,Analysts,0),FALSE),60)</f>
        <v>60</v>
      </c>
      <c r="J541">
        <f>_xlfn.IFNA(VLOOKUP($A541,PredictionTable,MATCH(J$1,Analysts,0),FALSE),60)</f>
        <v>60</v>
      </c>
      <c r="K541">
        <f>_xlfn.IFNA(VLOOKUP($A541,PredictionTable,MATCH(K$1,Analysts,0),FALSE),60)</f>
        <v>60</v>
      </c>
      <c r="L541">
        <f>_xlfn.IFNA(VLOOKUP($A541,PredictionTable,MATCH(L$1,Analysts,0),FALSE),60)</f>
        <v>60</v>
      </c>
      <c r="M541">
        <f>_xlfn.IFNA(VLOOKUP($A541,PredictionTable,MATCH(M$1,Analysts,0),FALSE),60)</f>
        <v>60</v>
      </c>
      <c r="N541">
        <f>_xlfn.IFNA(VLOOKUP($A541,PredictionTable,MATCH(N$1,Analysts,0),FALSE),60)</f>
        <v>60</v>
      </c>
      <c r="O541">
        <f>_xlfn.IFNA(VLOOKUP($A541,PredictionTable,MATCH(O$1,Analysts,0),FALSE),60)</f>
        <v>60</v>
      </c>
      <c r="P541">
        <f>_xlfn.IFNA(VLOOKUP($A541,PredictionTable,MATCH(P$1,Analysts,0),FALSE),60)</f>
        <v>60</v>
      </c>
      <c r="V541" s="7" t="s">
        <v>589</v>
      </c>
    </row>
    <row r="542" spans="1:22" x14ac:dyDescent="0.45">
      <c r="A542" s="1" t="s">
        <v>548</v>
      </c>
      <c r="B542" s="1" t="s">
        <v>343</v>
      </c>
      <c r="C542" s="1">
        <f>INDEX(T_Performances,MATCH($A542,T_Names,0))</f>
        <v>0</v>
      </c>
      <c r="D542">
        <v>1.1000000000000001</v>
      </c>
      <c r="E542" s="1">
        <f>INDEX(T_Avg_PPG,MATCH($A542,T_Names,0))</f>
        <v>1.1000000000000001</v>
      </c>
      <c r="F542">
        <f>1+COUNTIFS(T_Total,"&gt;"&amp;D542,T_Pos,$B542)</f>
        <v>205</v>
      </c>
      <c r="G542">
        <f>1+COUNTIFS(T_Avg_PPG,"&gt;"&amp;E542,T_Pos,$B542)</f>
        <v>204</v>
      </c>
      <c r="H542">
        <f>_xlfn.IFNA(VLOOKUP($A542,PredictionTable,MATCH(H$1,Analysts,0),FALSE),60)</f>
        <v>60</v>
      </c>
      <c r="I542">
        <f>_xlfn.IFNA(VLOOKUP($A542,PredictionTable,MATCH(I$1,Analysts,0),FALSE),60)</f>
        <v>60</v>
      </c>
      <c r="J542">
        <f>_xlfn.IFNA(VLOOKUP($A542,PredictionTable,MATCH(J$1,Analysts,0),FALSE),60)</f>
        <v>60</v>
      </c>
      <c r="K542">
        <f>_xlfn.IFNA(VLOOKUP($A542,PredictionTable,MATCH(K$1,Analysts,0),FALSE),60)</f>
        <v>60</v>
      </c>
      <c r="L542">
        <f>_xlfn.IFNA(VLOOKUP($A542,PredictionTable,MATCH(L$1,Analysts,0),FALSE),60)</f>
        <v>60</v>
      </c>
      <c r="M542">
        <f>_xlfn.IFNA(VLOOKUP($A542,PredictionTable,MATCH(M$1,Analysts,0),FALSE),60)</f>
        <v>60</v>
      </c>
      <c r="N542">
        <f>_xlfn.IFNA(VLOOKUP($A542,PredictionTable,MATCH(N$1,Analysts,0),FALSE),60)</f>
        <v>60</v>
      </c>
      <c r="O542">
        <f>_xlfn.IFNA(VLOOKUP($A542,PredictionTable,MATCH(O$1,Analysts,0),FALSE),60)</f>
        <v>60</v>
      </c>
      <c r="P542">
        <f>_xlfn.IFNA(VLOOKUP($A542,PredictionTable,MATCH(P$1,Analysts,0),FALSE),60)</f>
        <v>60</v>
      </c>
      <c r="V542" s="7" t="s">
        <v>589</v>
      </c>
    </row>
    <row r="543" spans="1:22" x14ac:dyDescent="0.45">
      <c r="A543" s="1" t="s">
        <v>549</v>
      </c>
      <c r="B543" s="1" t="s">
        <v>343</v>
      </c>
      <c r="C543" s="1">
        <f>INDEX(T_Performances,MATCH($A543,T_Names,0))</f>
        <v>0</v>
      </c>
      <c r="D543">
        <v>1.1000000000000001</v>
      </c>
      <c r="E543" s="1">
        <f>INDEX(T_Avg_PPG,MATCH($A543,T_Names,0))</f>
        <v>1.1000000000000001</v>
      </c>
      <c r="F543">
        <f>1+COUNTIFS(T_Total,"&gt;"&amp;D543,T_Pos,$B543)</f>
        <v>205</v>
      </c>
      <c r="G543">
        <f>1+COUNTIFS(T_Avg_PPG,"&gt;"&amp;E543,T_Pos,$B543)</f>
        <v>204</v>
      </c>
      <c r="H543">
        <f>_xlfn.IFNA(VLOOKUP($A543,PredictionTable,MATCH(H$1,Analysts,0),FALSE),60)</f>
        <v>60</v>
      </c>
      <c r="I543">
        <f>_xlfn.IFNA(VLOOKUP($A543,PredictionTable,MATCH(I$1,Analysts,0),FALSE),60)</f>
        <v>60</v>
      </c>
      <c r="J543">
        <f>_xlfn.IFNA(VLOOKUP($A543,PredictionTable,MATCH(J$1,Analysts,0),FALSE),60)</f>
        <v>60</v>
      </c>
      <c r="K543">
        <f>_xlfn.IFNA(VLOOKUP($A543,PredictionTable,MATCH(K$1,Analysts,0),FALSE),60)</f>
        <v>60</v>
      </c>
      <c r="L543">
        <f>_xlfn.IFNA(VLOOKUP($A543,PredictionTable,MATCH(L$1,Analysts,0),FALSE),60)</f>
        <v>60</v>
      </c>
      <c r="M543">
        <f>_xlfn.IFNA(VLOOKUP($A543,PredictionTable,MATCH(M$1,Analysts,0),FALSE),60)</f>
        <v>60</v>
      </c>
      <c r="N543">
        <f>_xlfn.IFNA(VLOOKUP($A543,PredictionTable,MATCH(N$1,Analysts,0),FALSE),60)</f>
        <v>60</v>
      </c>
      <c r="O543">
        <f>_xlfn.IFNA(VLOOKUP($A543,PredictionTable,MATCH(O$1,Analysts,0),FALSE),60)</f>
        <v>60</v>
      </c>
      <c r="P543">
        <f>_xlfn.IFNA(VLOOKUP($A543,PredictionTable,MATCH(P$1,Analysts,0),FALSE),60)</f>
        <v>60</v>
      </c>
      <c r="V543" s="7" t="s">
        <v>589</v>
      </c>
    </row>
    <row r="544" spans="1:22" x14ac:dyDescent="0.45">
      <c r="A544" s="1" t="s">
        <v>550</v>
      </c>
      <c r="B544" s="1" t="s">
        <v>343</v>
      </c>
      <c r="C544" s="1">
        <f>INDEX(T_Performances,MATCH($A544,T_Names,0))</f>
        <v>0</v>
      </c>
      <c r="D544">
        <v>1.1000000000000001</v>
      </c>
      <c r="E544" s="1">
        <f>INDEX(T_Avg_PPG,MATCH($A544,T_Names,0))</f>
        <v>1.1000000000000001</v>
      </c>
      <c r="F544">
        <f>1+COUNTIFS(T_Total,"&gt;"&amp;D544,T_Pos,$B544)</f>
        <v>205</v>
      </c>
      <c r="G544">
        <f>1+COUNTIFS(T_Avg_PPG,"&gt;"&amp;E544,T_Pos,$B544)</f>
        <v>204</v>
      </c>
      <c r="H544">
        <f>_xlfn.IFNA(VLOOKUP($A544,PredictionTable,MATCH(H$1,Analysts,0),FALSE),60)</f>
        <v>60</v>
      </c>
      <c r="I544">
        <f>_xlfn.IFNA(VLOOKUP($A544,PredictionTable,MATCH(I$1,Analysts,0),FALSE),60)</f>
        <v>60</v>
      </c>
      <c r="J544">
        <f>_xlfn.IFNA(VLOOKUP($A544,PredictionTable,MATCH(J$1,Analysts,0),FALSE),60)</f>
        <v>60</v>
      </c>
      <c r="K544">
        <f>_xlfn.IFNA(VLOOKUP($A544,PredictionTable,MATCH(K$1,Analysts,0),FALSE),60)</f>
        <v>60</v>
      </c>
      <c r="L544">
        <f>_xlfn.IFNA(VLOOKUP($A544,PredictionTable,MATCH(L$1,Analysts,0),FALSE),60)</f>
        <v>60</v>
      </c>
      <c r="M544">
        <f>_xlfn.IFNA(VLOOKUP($A544,PredictionTable,MATCH(M$1,Analysts,0),FALSE),60)</f>
        <v>60</v>
      </c>
      <c r="N544">
        <f>_xlfn.IFNA(VLOOKUP($A544,PredictionTable,MATCH(N$1,Analysts,0),FALSE),60)</f>
        <v>60</v>
      </c>
      <c r="O544">
        <f>_xlfn.IFNA(VLOOKUP($A544,PredictionTable,MATCH(O$1,Analysts,0),FALSE),60)</f>
        <v>60</v>
      </c>
      <c r="P544">
        <f>_xlfn.IFNA(VLOOKUP($A544,PredictionTable,MATCH(P$1,Analysts,0),FALSE),60)</f>
        <v>60</v>
      </c>
      <c r="V544" s="7" t="s">
        <v>589</v>
      </c>
    </row>
    <row r="545" spans="1:22" x14ac:dyDescent="0.45">
      <c r="A545" s="1" t="s">
        <v>551</v>
      </c>
      <c r="B545" s="1" t="s">
        <v>343</v>
      </c>
      <c r="C545" s="1">
        <f>INDEX(T_Performances,MATCH($A545,T_Names,0))</f>
        <v>0</v>
      </c>
      <c r="D545">
        <v>1.1000000000000001</v>
      </c>
      <c r="E545" s="1">
        <f>INDEX(T_Avg_PPG,MATCH($A545,T_Names,0))</f>
        <v>1.1000000000000001</v>
      </c>
      <c r="F545">
        <f>1+COUNTIFS(T_Total,"&gt;"&amp;D545,T_Pos,$B545)</f>
        <v>205</v>
      </c>
      <c r="G545">
        <f>1+COUNTIFS(T_Avg_PPG,"&gt;"&amp;E545,T_Pos,$B545)</f>
        <v>204</v>
      </c>
      <c r="H545">
        <f>_xlfn.IFNA(VLOOKUP($A545,PredictionTable,MATCH(H$1,Analysts,0),FALSE),60)</f>
        <v>60</v>
      </c>
      <c r="I545">
        <f>_xlfn.IFNA(VLOOKUP($A545,PredictionTable,MATCH(I$1,Analysts,0),FALSE),60)</f>
        <v>60</v>
      </c>
      <c r="J545">
        <f>_xlfn.IFNA(VLOOKUP($A545,PredictionTable,MATCH(J$1,Analysts,0),FALSE),60)</f>
        <v>60</v>
      </c>
      <c r="K545">
        <f>_xlfn.IFNA(VLOOKUP($A545,PredictionTable,MATCH(K$1,Analysts,0),FALSE),60)</f>
        <v>60</v>
      </c>
      <c r="L545">
        <f>_xlfn.IFNA(VLOOKUP($A545,PredictionTable,MATCH(L$1,Analysts,0),FALSE),60)</f>
        <v>60</v>
      </c>
      <c r="M545">
        <f>_xlfn.IFNA(VLOOKUP($A545,PredictionTable,MATCH(M$1,Analysts,0),FALSE),60)</f>
        <v>60</v>
      </c>
      <c r="N545">
        <f>_xlfn.IFNA(VLOOKUP($A545,PredictionTable,MATCH(N$1,Analysts,0),FALSE),60)</f>
        <v>60</v>
      </c>
      <c r="O545">
        <f>_xlfn.IFNA(VLOOKUP($A545,PredictionTable,MATCH(O$1,Analysts,0),FALSE),60)</f>
        <v>60</v>
      </c>
      <c r="P545">
        <f>_xlfn.IFNA(VLOOKUP($A545,PredictionTable,MATCH(P$1,Analysts,0),FALSE),60)</f>
        <v>60</v>
      </c>
      <c r="V545" s="7" t="s">
        <v>589</v>
      </c>
    </row>
    <row r="546" spans="1:22" x14ac:dyDescent="0.45">
      <c r="A546" s="1" t="s">
        <v>552</v>
      </c>
      <c r="B546" s="1" t="s">
        <v>343</v>
      </c>
      <c r="C546" s="1">
        <f>INDEX(T_Performances,MATCH($A546,T_Names,0))</f>
        <v>0</v>
      </c>
      <c r="D546">
        <v>1</v>
      </c>
      <c r="E546" s="1">
        <f>INDEX(T_Avg_PPG,MATCH($A546,T_Names,0))</f>
        <v>1</v>
      </c>
      <c r="F546">
        <f>1+COUNTIFS(T_Total,"&gt;"&amp;D546,T_Pos,$B546)</f>
        <v>210</v>
      </c>
      <c r="G546">
        <f>1+COUNTIFS(T_Avg_PPG,"&gt;"&amp;E546,T_Pos,$B546)</f>
        <v>209</v>
      </c>
      <c r="H546">
        <f>_xlfn.IFNA(VLOOKUP($A546,PredictionTable,MATCH(H$1,Analysts,0),FALSE),60)</f>
        <v>60</v>
      </c>
      <c r="I546">
        <f>_xlfn.IFNA(VLOOKUP($A546,PredictionTable,MATCH(I$1,Analysts,0),FALSE),60)</f>
        <v>60</v>
      </c>
      <c r="J546">
        <f>_xlfn.IFNA(VLOOKUP($A546,PredictionTable,MATCH(J$1,Analysts,0),FALSE),60)</f>
        <v>60</v>
      </c>
      <c r="K546">
        <f>_xlfn.IFNA(VLOOKUP($A546,PredictionTable,MATCH(K$1,Analysts,0),FALSE),60)</f>
        <v>60</v>
      </c>
      <c r="L546">
        <f>_xlfn.IFNA(VLOOKUP($A546,PredictionTable,MATCH(L$1,Analysts,0),FALSE),60)</f>
        <v>60</v>
      </c>
      <c r="M546">
        <f>_xlfn.IFNA(VLOOKUP($A546,PredictionTable,MATCH(M$1,Analysts,0),FALSE),60)</f>
        <v>60</v>
      </c>
      <c r="N546">
        <f>_xlfn.IFNA(VLOOKUP($A546,PredictionTable,MATCH(N$1,Analysts,0),FALSE),60)</f>
        <v>60</v>
      </c>
      <c r="O546">
        <f>_xlfn.IFNA(VLOOKUP($A546,PredictionTable,MATCH(O$1,Analysts,0),FALSE),60)</f>
        <v>60</v>
      </c>
      <c r="P546">
        <f>_xlfn.IFNA(VLOOKUP($A546,PredictionTable,MATCH(P$1,Analysts,0),FALSE),60)</f>
        <v>60</v>
      </c>
      <c r="V546" s="7" t="s">
        <v>589</v>
      </c>
    </row>
    <row r="547" spans="1:22" x14ac:dyDescent="0.45">
      <c r="A547" s="1" t="s">
        <v>553</v>
      </c>
      <c r="B547" s="1" t="s">
        <v>343</v>
      </c>
      <c r="C547" s="1">
        <f>INDEX(T_Performances,MATCH($A547,T_Names,0))</f>
        <v>0</v>
      </c>
      <c r="D547">
        <v>1</v>
      </c>
      <c r="E547" s="1">
        <f>INDEX(T_Avg_PPG,MATCH($A547,T_Names,0))</f>
        <v>1</v>
      </c>
      <c r="F547">
        <f>1+COUNTIFS(T_Total,"&gt;"&amp;D547,T_Pos,$B547)</f>
        <v>210</v>
      </c>
      <c r="G547">
        <f>1+COUNTIFS(T_Avg_PPG,"&gt;"&amp;E547,T_Pos,$B547)</f>
        <v>209</v>
      </c>
      <c r="H547">
        <f>_xlfn.IFNA(VLOOKUP($A547,PredictionTable,MATCH(H$1,Analysts,0),FALSE),60)</f>
        <v>60</v>
      </c>
      <c r="I547">
        <f>_xlfn.IFNA(VLOOKUP($A547,PredictionTable,MATCH(I$1,Analysts,0),FALSE),60)</f>
        <v>60</v>
      </c>
      <c r="J547">
        <f>_xlfn.IFNA(VLOOKUP($A547,PredictionTable,MATCH(J$1,Analysts,0),FALSE),60)</f>
        <v>60</v>
      </c>
      <c r="K547">
        <f>_xlfn.IFNA(VLOOKUP($A547,PredictionTable,MATCH(K$1,Analysts,0),FALSE),60)</f>
        <v>60</v>
      </c>
      <c r="L547">
        <f>_xlfn.IFNA(VLOOKUP($A547,PredictionTable,MATCH(L$1,Analysts,0),FALSE),60)</f>
        <v>60</v>
      </c>
      <c r="M547">
        <f>_xlfn.IFNA(VLOOKUP($A547,PredictionTable,MATCH(M$1,Analysts,0),FALSE),60)</f>
        <v>60</v>
      </c>
      <c r="N547">
        <f>_xlfn.IFNA(VLOOKUP($A547,PredictionTable,MATCH(N$1,Analysts,0),FALSE),60)</f>
        <v>60</v>
      </c>
      <c r="O547">
        <f>_xlfn.IFNA(VLOOKUP($A547,PredictionTable,MATCH(O$1,Analysts,0),FALSE),60)</f>
        <v>60</v>
      </c>
      <c r="P547">
        <f>_xlfn.IFNA(VLOOKUP($A547,PredictionTable,MATCH(P$1,Analysts,0),FALSE),60)</f>
        <v>60</v>
      </c>
      <c r="V547" s="7" t="s">
        <v>589</v>
      </c>
    </row>
    <row r="548" spans="1:22" x14ac:dyDescent="0.45">
      <c r="A548" s="1" t="s">
        <v>554</v>
      </c>
      <c r="B548" s="1" t="s">
        <v>343</v>
      </c>
      <c r="C548" s="1">
        <f>INDEX(T_Performances,MATCH($A548,T_Names,0))</f>
        <v>0</v>
      </c>
      <c r="D548">
        <v>0.3</v>
      </c>
      <c r="E548" s="1">
        <f>INDEX(T_Avg_PPG,MATCH($A548,T_Names,0))</f>
        <v>0.3</v>
      </c>
      <c r="F548">
        <f>1+COUNTIFS(T_Total,"&gt;"&amp;D548,T_Pos,$B548)</f>
        <v>212</v>
      </c>
      <c r="G548">
        <f>1+COUNTIFS(T_Avg_PPG,"&gt;"&amp;E548,T_Pos,$B548)</f>
        <v>212</v>
      </c>
      <c r="H548">
        <f>_xlfn.IFNA(VLOOKUP($A548,PredictionTable,MATCH(H$1,Analysts,0),FALSE),60)</f>
        <v>60</v>
      </c>
      <c r="I548">
        <f>_xlfn.IFNA(VLOOKUP($A548,PredictionTable,MATCH(I$1,Analysts,0),FALSE),60)</f>
        <v>60</v>
      </c>
      <c r="J548">
        <f>_xlfn.IFNA(VLOOKUP($A548,PredictionTable,MATCH(J$1,Analysts,0),FALSE),60)</f>
        <v>60</v>
      </c>
      <c r="K548">
        <f>_xlfn.IFNA(VLOOKUP($A548,PredictionTable,MATCH(K$1,Analysts,0),FALSE),60)</f>
        <v>60</v>
      </c>
      <c r="L548">
        <f>_xlfn.IFNA(VLOOKUP($A548,PredictionTable,MATCH(L$1,Analysts,0),FALSE),60)</f>
        <v>60</v>
      </c>
      <c r="M548">
        <f>_xlfn.IFNA(VLOOKUP($A548,PredictionTable,MATCH(M$1,Analysts,0),FALSE),60)</f>
        <v>60</v>
      </c>
      <c r="N548">
        <f>_xlfn.IFNA(VLOOKUP($A548,PredictionTable,MATCH(N$1,Analysts,0),FALSE),60)</f>
        <v>60</v>
      </c>
      <c r="O548">
        <f>_xlfn.IFNA(VLOOKUP($A548,PredictionTable,MATCH(O$1,Analysts,0),FALSE),60)</f>
        <v>60</v>
      </c>
      <c r="P548">
        <f>_xlfn.IFNA(VLOOKUP($A548,PredictionTable,MATCH(P$1,Analysts,0),FALSE),60)</f>
        <v>60</v>
      </c>
      <c r="V548" s="7" t="s">
        <v>589</v>
      </c>
    </row>
    <row r="549" spans="1:22" x14ac:dyDescent="0.45">
      <c r="A549" s="1" t="s">
        <v>555</v>
      </c>
      <c r="B549" s="1" t="s">
        <v>343</v>
      </c>
      <c r="C549" s="1">
        <f>INDEX(T_Performances,MATCH($A549,T_Names,0))</f>
        <v>0</v>
      </c>
      <c r="D549">
        <v>-0.1</v>
      </c>
      <c r="E549" s="1">
        <f>INDEX(T_Avg_PPG,MATCH($A549,T_Names,0))</f>
        <v>-0.1</v>
      </c>
      <c r="F549">
        <f>1+COUNTIFS(T_Total,"&gt;"&amp;D549,T_Pos,$B549)</f>
        <v>213</v>
      </c>
      <c r="G549">
        <f>1+COUNTIFS(T_Avg_PPG,"&gt;"&amp;E549,T_Pos,$B549)</f>
        <v>213</v>
      </c>
      <c r="H549">
        <f>_xlfn.IFNA(VLOOKUP($A549,PredictionTable,MATCH(H$1,Analysts,0),FALSE),60)</f>
        <v>60</v>
      </c>
      <c r="I549">
        <f>_xlfn.IFNA(VLOOKUP($A549,PredictionTable,MATCH(I$1,Analysts,0),FALSE),60)</f>
        <v>60</v>
      </c>
      <c r="J549">
        <f>_xlfn.IFNA(VLOOKUP($A549,PredictionTable,MATCH(J$1,Analysts,0),FALSE),60)</f>
        <v>60</v>
      </c>
      <c r="K549">
        <f>_xlfn.IFNA(VLOOKUP($A549,PredictionTable,MATCH(K$1,Analysts,0),FALSE),60)</f>
        <v>60</v>
      </c>
      <c r="L549">
        <f>_xlfn.IFNA(VLOOKUP($A549,PredictionTable,MATCH(L$1,Analysts,0),FALSE),60)</f>
        <v>60</v>
      </c>
      <c r="M549">
        <f>_xlfn.IFNA(VLOOKUP($A549,PredictionTable,MATCH(M$1,Analysts,0),FALSE),60)</f>
        <v>60</v>
      </c>
      <c r="N549">
        <f>_xlfn.IFNA(VLOOKUP($A549,PredictionTable,MATCH(N$1,Analysts,0),FALSE),60)</f>
        <v>60</v>
      </c>
      <c r="O549">
        <f>_xlfn.IFNA(VLOOKUP($A549,PredictionTable,MATCH(O$1,Analysts,0),FALSE),60)</f>
        <v>60</v>
      </c>
      <c r="P549">
        <f>_xlfn.IFNA(VLOOKUP($A549,PredictionTable,MATCH(P$1,Analysts,0),FALSE),60)</f>
        <v>60</v>
      </c>
      <c r="V549" s="7" t="s">
        <v>589</v>
      </c>
    </row>
    <row r="550" spans="1:22" x14ac:dyDescent="0.45">
      <c r="A550" s="1" t="s">
        <v>556</v>
      </c>
      <c r="B550" s="1" t="s">
        <v>343</v>
      </c>
      <c r="C550" s="1">
        <f>INDEX(T_Performances,MATCH($A550,T_Names,0))</f>
        <v>0</v>
      </c>
      <c r="D550">
        <v>-1</v>
      </c>
      <c r="E550" s="1">
        <f>INDEX(T_Avg_PPG,MATCH($A550,T_Names,0))</f>
        <v>-1</v>
      </c>
      <c r="F550">
        <f>1+COUNTIFS(T_Total,"&gt;"&amp;D550,T_Pos,$B550)</f>
        <v>214</v>
      </c>
      <c r="G550">
        <f>1+COUNTIFS(T_Avg_PPG,"&gt;"&amp;E550,T_Pos,$B550)</f>
        <v>214</v>
      </c>
      <c r="H550">
        <f>_xlfn.IFNA(VLOOKUP($A550,PredictionTable,MATCH(H$1,Analysts,0),FALSE),60)</f>
        <v>60</v>
      </c>
      <c r="I550">
        <f>_xlfn.IFNA(VLOOKUP($A550,PredictionTable,MATCH(I$1,Analysts,0),FALSE),60)</f>
        <v>60</v>
      </c>
      <c r="J550">
        <f>_xlfn.IFNA(VLOOKUP($A550,PredictionTable,MATCH(J$1,Analysts,0),FALSE),60)</f>
        <v>60</v>
      </c>
      <c r="K550">
        <f>_xlfn.IFNA(VLOOKUP($A550,PredictionTable,MATCH(K$1,Analysts,0),FALSE),60)</f>
        <v>60</v>
      </c>
      <c r="L550">
        <f>_xlfn.IFNA(VLOOKUP($A550,PredictionTable,MATCH(L$1,Analysts,0),FALSE),60)</f>
        <v>60</v>
      </c>
      <c r="M550">
        <f>_xlfn.IFNA(VLOOKUP($A550,PredictionTable,MATCH(M$1,Analysts,0),FALSE),60)</f>
        <v>60</v>
      </c>
      <c r="N550">
        <f>_xlfn.IFNA(VLOOKUP($A550,PredictionTable,MATCH(N$1,Analysts,0),FALSE),60)</f>
        <v>60</v>
      </c>
      <c r="O550">
        <f>_xlfn.IFNA(VLOOKUP($A550,PredictionTable,MATCH(O$1,Analysts,0),FALSE),60)</f>
        <v>60</v>
      </c>
      <c r="P550">
        <f>_xlfn.IFNA(VLOOKUP($A550,PredictionTable,MATCH(P$1,Analysts,0),FALSE),60)</f>
        <v>60</v>
      </c>
      <c r="V550" s="7" t="s">
        <v>589</v>
      </c>
    </row>
    <row r="551" spans="1:22" x14ac:dyDescent="0.45">
      <c r="A551" s="1" t="s">
        <v>557</v>
      </c>
      <c r="B551" s="1" t="s">
        <v>343</v>
      </c>
      <c r="C551" s="1">
        <f>INDEX(T_Performances,MATCH($A551,T_Names,0))</f>
        <v>0</v>
      </c>
      <c r="D551">
        <v>-2</v>
      </c>
      <c r="E551" s="1">
        <f>INDEX(T_Avg_PPG,MATCH($A551,T_Names,0))</f>
        <v>-2</v>
      </c>
      <c r="F551">
        <f>1+COUNTIFS(T_Total,"&gt;"&amp;D551,T_Pos,$B551)</f>
        <v>215</v>
      </c>
      <c r="G551">
        <f>1+COUNTIFS(T_Avg_PPG,"&gt;"&amp;E551,T_Pos,$B551)</f>
        <v>215</v>
      </c>
      <c r="H551">
        <f>_xlfn.IFNA(VLOOKUP($A551,PredictionTable,MATCH(H$1,Analysts,0),FALSE),60)</f>
        <v>60</v>
      </c>
      <c r="I551">
        <f>_xlfn.IFNA(VLOOKUP($A551,PredictionTable,MATCH(I$1,Analysts,0),FALSE),60)</f>
        <v>60</v>
      </c>
      <c r="J551">
        <f>_xlfn.IFNA(VLOOKUP($A551,PredictionTable,MATCH(J$1,Analysts,0),FALSE),60)</f>
        <v>60</v>
      </c>
      <c r="K551">
        <f>_xlfn.IFNA(VLOOKUP($A551,PredictionTable,MATCH(K$1,Analysts,0),FALSE),60)</f>
        <v>60</v>
      </c>
      <c r="L551">
        <f>_xlfn.IFNA(VLOOKUP($A551,PredictionTable,MATCH(L$1,Analysts,0),FALSE),60)</f>
        <v>60</v>
      </c>
      <c r="M551">
        <f>_xlfn.IFNA(VLOOKUP($A551,PredictionTable,MATCH(M$1,Analysts,0),FALSE),60)</f>
        <v>60</v>
      </c>
      <c r="N551">
        <f>_xlfn.IFNA(VLOOKUP($A551,PredictionTable,MATCH(N$1,Analysts,0),FALSE),60)</f>
        <v>60</v>
      </c>
      <c r="O551">
        <f>_xlfn.IFNA(VLOOKUP($A551,PredictionTable,MATCH(O$1,Analysts,0),FALSE),60)</f>
        <v>60</v>
      </c>
      <c r="P551">
        <f>_xlfn.IFNA(VLOOKUP($A551,PredictionTable,MATCH(P$1,Analysts,0),FALSE),60)</f>
        <v>60</v>
      </c>
      <c r="V551" s="7" t="s">
        <v>589</v>
      </c>
    </row>
    <row r="552" spans="1:22" x14ac:dyDescent="0.45">
      <c r="A552" s="1" t="s">
        <v>558</v>
      </c>
      <c r="B552" s="1" t="s">
        <v>343</v>
      </c>
      <c r="C552" s="1">
        <f>INDEX(T_Performances,MATCH($A552,T_Names,0))</f>
        <v>0</v>
      </c>
      <c r="D552">
        <v>-2.4</v>
      </c>
      <c r="E552" s="1">
        <f>INDEX(T_Avg_PPG,MATCH($A552,T_Names,0))</f>
        <v>-2.4</v>
      </c>
      <c r="F552">
        <f>1+COUNTIFS(T_Total,"&gt;"&amp;D552,T_Pos,$B552)</f>
        <v>216</v>
      </c>
      <c r="G552">
        <f>1+COUNTIFS(T_Avg_PPG,"&gt;"&amp;E552,T_Pos,$B552)</f>
        <v>216</v>
      </c>
      <c r="H552">
        <f>_xlfn.IFNA(VLOOKUP($A552,PredictionTable,MATCH(H$1,Analysts,0),FALSE),60)</f>
        <v>60</v>
      </c>
      <c r="I552">
        <f>_xlfn.IFNA(VLOOKUP($A552,PredictionTable,MATCH(I$1,Analysts,0),FALSE),60)</f>
        <v>60</v>
      </c>
      <c r="J552">
        <f>_xlfn.IFNA(VLOOKUP($A552,PredictionTable,MATCH(J$1,Analysts,0),FALSE),60)</f>
        <v>60</v>
      </c>
      <c r="K552">
        <f>_xlfn.IFNA(VLOOKUP($A552,PredictionTable,MATCH(K$1,Analysts,0),FALSE),60)</f>
        <v>60</v>
      </c>
      <c r="L552">
        <f>_xlfn.IFNA(VLOOKUP($A552,PredictionTable,MATCH(L$1,Analysts,0),FALSE),60)</f>
        <v>60</v>
      </c>
      <c r="M552">
        <f>_xlfn.IFNA(VLOOKUP($A552,PredictionTable,MATCH(M$1,Analysts,0),FALSE),60)</f>
        <v>60</v>
      </c>
      <c r="N552">
        <f>_xlfn.IFNA(VLOOKUP($A552,PredictionTable,MATCH(N$1,Analysts,0),FALSE),60)</f>
        <v>60</v>
      </c>
      <c r="O552">
        <f>_xlfn.IFNA(VLOOKUP($A552,PredictionTable,MATCH(O$1,Analysts,0),FALSE),60)</f>
        <v>60</v>
      </c>
      <c r="P552">
        <f>_xlfn.IFNA(VLOOKUP($A552,PredictionTable,MATCH(P$1,Analysts,0),FALSE),60)</f>
        <v>60</v>
      </c>
      <c r="V552" s="7" t="s">
        <v>589</v>
      </c>
    </row>
    <row r="553" spans="1:22" x14ac:dyDescent="0.45">
      <c r="A553" s="1" t="s">
        <v>559</v>
      </c>
      <c r="B553" s="1" t="s">
        <v>343</v>
      </c>
      <c r="C553" s="1">
        <f>INDEX(T_Performances,MATCH($A553,T_Names,0))</f>
        <v>0</v>
      </c>
      <c r="D553">
        <v>-3.2</v>
      </c>
      <c r="E553" s="1">
        <f>INDEX(T_Avg_PPG,MATCH($A553,T_Names,0))</f>
        <v>-3.2</v>
      </c>
      <c r="F553">
        <f>1+COUNTIFS(T_Total,"&gt;"&amp;D553,T_Pos,$B553)</f>
        <v>217</v>
      </c>
      <c r="G553">
        <f>1+COUNTIFS(T_Avg_PPG,"&gt;"&amp;E553,T_Pos,$B553)</f>
        <v>217</v>
      </c>
      <c r="H553">
        <f>_xlfn.IFNA(VLOOKUP($A553,PredictionTable,MATCH(H$1,Analysts,0),FALSE),60)</f>
        <v>60</v>
      </c>
      <c r="I553">
        <f>_xlfn.IFNA(VLOOKUP($A553,PredictionTable,MATCH(I$1,Analysts,0),FALSE),60)</f>
        <v>60</v>
      </c>
      <c r="J553">
        <f>_xlfn.IFNA(VLOOKUP($A553,PredictionTable,MATCH(J$1,Analysts,0),FALSE),60)</f>
        <v>60</v>
      </c>
      <c r="K553">
        <f>_xlfn.IFNA(VLOOKUP($A553,PredictionTable,MATCH(K$1,Analysts,0),FALSE),60)</f>
        <v>60</v>
      </c>
      <c r="L553">
        <f>_xlfn.IFNA(VLOOKUP($A553,PredictionTable,MATCH(L$1,Analysts,0),FALSE),60)</f>
        <v>60</v>
      </c>
      <c r="M553">
        <f>_xlfn.IFNA(VLOOKUP($A553,PredictionTable,MATCH(M$1,Analysts,0),FALSE),60)</f>
        <v>60</v>
      </c>
      <c r="N553">
        <f>_xlfn.IFNA(VLOOKUP($A553,PredictionTable,MATCH(N$1,Analysts,0),FALSE),60)</f>
        <v>60</v>
      </c>
      <c r="O553">
        <f>_xlfn.IFNA(VLOOKUP($A553,PredictionTable,MATCH(O$1,Analysts,0),FALSE),60)</f>
        <v>60</v>
      </c>
      <c r="P553">
        <f>_xlfn.IFNA(VLOOKUP($A553,PredictionTable,MATCH(P$1,Analysts,0),FALSE),60)</f>
        <v>60</v>
      </c>
      <c r="V553" s="7" t="s">
        <v>589</v>
      </c>
    </row>
    <row r="554" spans="1:22" x14ac:dyDescent="0.45">
      <c r="A554" s="7" t="s">
        <v>589</v>
      </c>
      <c r="B554" s="7" t="s">
        <v>589</v>
      </c>
      <c r="C554" s="7" t="s">
        <v>589</v>
      </c>
      <c r="D554" s="7" t="s">
        <v>589</v>
      </c>
      <c r="E554" s="7" t="s">
        <v>589</v>
      </c>
      <c r="F554" s="3"/>
      <c r="G554" s="3"/>
      <c r="H554">
        <f>_xlfn.IFNA(VLOOKUP($A554,PredictionTable,MATCH(H$1,Analysts,0),FALSE),60)</f>
        <v>60</v>
      </c>
      <c r="I554">
        <f>_xlfn.IFNA(VLOOKUP($A554,PredictionTable,MATCH(I$1,Analysts,0),FALSE),60)</f>
        <v>60</v>
      </c>
      <c r="J554">
        <f>_xlfn.IFNA(VLOOKUP($A554,PredictionTable,MATCH(J$1,Analysts,0),FALSE),60)</f>
        <v>60</v>
      </c>
      <c r="K554">
        <f>_xlfn.IFNA(VLOOKUP($A554,PredictionTable,MATCH(K$1,Analysts,0),FALSE),60)</f>
        <v>60</v>
      </c>
      <c r="L554">
        <f>_xlfn.IFNA(VLOOKUP($A554,PredictionTable,MATCH(L$1,Analysts,0),FALSE),60)</f>
        <v>60</v>
      </c>
      <c r="M554">
        <f>_xlfn.IFNA(VLOOKUP($A554,PredictionTable,MATCH(M$1,Analysts,0),FALSE),60)</f>
        <v>60</v>
      </c>
      <c r="N554">
        <f>_xlfn.IFNA(VLOOKUP($A554,PredictionTable,MATCH(N$1,Analysts,0),FALSE),60)</f>
        <v>60</v>
      </c>
      <c r="O554">
        <f>_xlfn.IFNA(VLOOKUP($A554,PredictionTable,MATCH(O$1,Analysts,0),FALSE),60)</f>
        <v>60</v>
      </c>
      <c r="P554">
        <f>_xlfn.IFNA(VLOOKUP($A554,PredictionTable,MATCH(P$1,Analysts,0),FALSE),60)</f>
        <v>60</v>
      </c>
      <c r="Q554" s="7" t="s">
        <v>589</v>
      </c>
      <c r="R554" s="7" t="s">
        <v>589</v>
      </c>
      <c r="S554" s="7" t="s">
        <v>589</v>
      </c>
      <c r="T554" s="7" t="s">
        <v>589</v>
      </c>
      <c r="U554" s="7" t="s">
        <v>589</v>
      </c>
      <c r="V554" s="7" t="s">
        <v>589</v>
      </c>
    </row>
  </sheetData>
  <autoFilter ref="A1:V554" xr:uid="{E1F930FA-C2E6-44CB-A352-77C26041C9C6}"/>
  <conditionalFormatting sqref="C1:C553">
    <cfRule type="colorScale" priority="2">
      <colorScale>
        <cfvo type="min"/>
        <cfvo type="formula" val="2"/>
        <cfvo type="max"/>
        <color rgb="FFFFFFFF"/>
        <color rgb="FFFFFFFF"/>
        <color rgb="FF6AA84F"/>
      </colorScale>
    </cfRule>
  </conditionalFormatting>
  <conditionalFormatting sqref="E2:E553">
    <cfRule type="colorScale" priority="1">
      <colorScale>
        <cfvo type="min"/>
        <cfvo type="formula" val="2"/>
        <cfvo type="max"/>
        <color rgb="FFFFFFFF"/>
        <color rgb="FFFFFFFF"/>
        <color rgb="FF6AA84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Data</vt:lpstr>
      <vt:lpstr>Constants</vt:lpstr>
      <vt:lpstr>Predictions</vt:lpstr>
      <vt:lpstr>Analysis</vt:lpstr>
      <vt:lpstr>Analysts</vt:lpstr>
      <vt:lpstr>DataTable</vt:lpstr>
      <vt:lpstr>MetaTable</vt:lpstr>
      <vt:lpstr>PredictionTable</vt:lpstr>
      <vt:lpstr>T_Avg_PPG</vt:lpstr>
      <vt:lpstr>T_Names</vt:lpstr>
      <vt:lpstr>T_Performances</vt:lpstr>
      <vt:lpstr>T_Pos</vt:lpstr>
      <vt:lpstr>T_Total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 Berger</dc:creator>
  <cp:lastModifiedBy>Sammy Berger</cp:lastModifiedBy>
  <dcterms:created xsi:type="dcterms:W3CDTF">2015-06-05T18:17:20Z</dcterms:created>
  <dcterms:modified xsi:type="dcterms:W3CDTF">2025-08-19T14:41:16Z</dcterms:modified>
</cp:coreProperties>
</file>